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gica_App" sheetId="1" r:id="rId1"/>
    <sheet name="Carnes e Proteínas" sheetId="2" r:id="rId2"/>
    <sheet name="Cereais, Raízes, Tubérculos e F" sheetId="3" r:id="rId3"/>
    <sheet name="Feijão e Leguminosas" sheetId="4" r:id="rId4"/>
    <sheet name="Fibras A" sheetId="5" r:id="rId5"/>
    <sheet name="Fibras B" sheetId="6" r:id="rId6"/>
    <sheet name="Frutas " sheetId="7" r:id="rId7"/>
    <sheet name="Frutas Oleosas" sheetId="8" r:id="rId8"/>
    <sheet name="Leite e Derivados" sheetId="9" r:id="rId9"/>
    <sheet name="Livre" sheetId="10" r:id="rId10"/>
    <sheet name="Oleaginosas e Sementes" sheetId="11" r:id="rId11"/>
    <sheet name="Óleos e Gorduras " sheetId="12" r:id="rId12"/>
    <sheet name="Pães e Variedades" sheetId="13" r:id="rId13"/>
    <sheet name="Personalizado - CARB" sheetId="14" r:id="rId14"/>
    <sheet name="Personalizado - LIP" sheetId="15" r:id="rId15"/>
    <sheet name="Personalizado - PROT" sheetId="16" r:id="rId16"/>
    <sheet name="Sucos Naturais e Integrais" sheetId="17" r:id="rId17"/>
    <sheet name="Vegetais A (livres para o consu" sheetId="18" r:id="rId18"/>
    <sheet name="Vegetais B" sheetId="19" r:id="rId19"/>
  </sheets>
  <calcPr calcId="124519" fullCalcOnLoad="1"/>
</workbook>
</file>

<file path=xl/sharedStrings.xml><?xml version="1.0" encoding="utf-8"?>
<sst xmlns="http://schemas.openxmlformats.org/spreadsheetml/2006/main" count="413" uniqueCount="240">
  <si>
    <t>Lógica de Cálculo para o Aplicativo</t>
  </si>
  <si>
    <t>1. Seleção de Referência: O usuário escolhe um alimento (A1) e uma quantidade (Q1) em gramas.</t>
  </si>
  <si>
    <t>2. Cálculo de Calorias de Referência: Cal_Ref = (Q1 * Kcal_A1) / 100</t>
  </si>
  <si>
    <t>3. Equivalência de Substituição: Para qualquer outro alimento (A2) do mesmo grupo:</t>
  </si>
  <si>
    <t xml:space="preserve">   Quantidade_Equivalente (Q2) = (Cal_Ref * 100) / Kcal_A2</t>
  </si>
  <si>
    <t>4. Resultado: O app exibe a lista de todos os alimentos do grupo com suas respectivas gramagens (Q2) para manter a mesma caloria.</t>
  </si>
  <si>
    <t>Exemplo: Se 100g de Frango tem 159kcal, e o usuário quer substituir por Ovo (143kcal/100g):</t>
  </si>
  <si>
    <t>Cal_Ref = (100 * 159) / 100 = 159kcal</t>
  </si>
  <si>
    <t>Q_Ovo = (159 * 100) / 143 = 111.18g</t>
  </si>
  <si>
    <t>Alimento</t>
  </si>
  <si>
    <t>Kcal</t>
  </si>
  <si>
    <t>CHO</t>
  </si>
  <si>
    <t>PTN</t>
  </si>
  <si>
    <t>LIP</t>
  </si>
  <si>
    <t>Albumina</t>
  </si>
  <si>
    <t>Carne suína magra sem gordura (filé mignon suíno e lombo)</t>
  </si>
  <si>
    <t>Carne vermelha magra sem gordura (patinho, paleta, músculo, lagarto, filé mignon, coxão mole e coxão duro)</t>
  </si>
  <si>
    <t>Clara cozida</t>
  </si>
  <si>
    <t>Ovo, 1un=45g (mexido, cozido, omelete ou frito com pouco óleo)</t>
  </si>
  <si>
    <t>Peito de frango (grelhado, cozido ou desfiado)</t>
  </si>
  <si>
    <t>Peixe assado ou cozido sem óleo (atum, sardinha, bacalhau, tilápia e pescada)</t>
  </si>
  <si>
    <t>Whey Protein</t>
  </si>
  <si>
    <t>Presunto</t>
  </si>
  <si>
    <t>Peito de peru</t>
  </si>
  <si>
    <t>CALCULADORA DE EQUIVALÊNCIA - Carnes e Proteínas</t>
  </si>
  <si>
    <t>Selecione a Gramagem de Referência:</t>
  </si>
  <si>
    <t>Alimento de Referência (Kcal/100g):</t>
  </si>
  <si>
    <t>Instrução:</t>
  </si>
  <si>
    <t>Altere a gramagem em B2 para ver a equivalência na coluna "Gramas Equivalentes"</t>
  </si>
  <si>
    <t>Gramas Equivalentes</t>
  </si>
  <si>
    <t>'Abóbora, cabotian, refogada</t>
  </si>
  <si>
    <t>'Abóbora, moranga, refogada</t>
  </si>
  <si>
    <t>Arroz 7 grãos cozido</t>
  </si>
  <si>
    <t>Arroz branco cozido</t>
  </si>
  <si>
    <t>Arroz integral cozido</t>
  </si>
  <si>
    <t>Batata baroa/Mandioquinha cozida</t>
  </si>
  <si>
    <t>Batata doce cozida</t>
  </si>
  <si>
    <t>Batata inglesa cozida</t>
  </si>
  <si>
    <t>'Beterraba</t>
  </si>
  <si>
    <t>'Cenoura</t>
  </si>
  <si>
    <t>Macarrão integral, molho de tomate</t>
  </si>
  <si>
    <t>Macarrão, molho de tomate</t>
  </si>
  <si>
    <t>Macarrão, alho e óleo</t>
  </si>
  <si>
    <t>Mandioca cozida</t>
  </si>
  <si>
    <t>Milho verde cozido</t>
  </si>
  <si>
    <t>CALCULADORA DE EQUIVALÊNCIA - Cereais, Raízes, Tubérculos e Frutos</t>
  </si>
  <si>
    <t>Ervilha cozida</t>
  </si>
  <si>
    <t>Ervilha em vagem cozida</t>
  </si>
  <si>
    <t>Feijão azuk cozido</t>
  </si>
  <si>
    <t>Feijão branco cozido</t>
  </si>
  <si>
    <t>Feijão carioca cozido</t>
  </si>
  <si>
    <t>Feijão fradinho cozido</t>
  </si>
  <si>
    <t>Feijão preto cozido</t>
  </si>
  <si>
    <t>Grão de bico cozido</t>
  </si>
  <si>
    <t>Lentilha cozida</t>
  </si>
  <si>
    <t>CALCULADORA DE EQUIVALÊNCIA - Feijão e Leguminosas</t>
  </si>
  <si>
    <t>Aveia em flocos</t>
  </si>
  <si>
    <t>Farelo de aveia</t>
  </si>
  <si>
    <t>Granola</t>
  </si>
  <si>
    <t>CALCULADORA DE EQUIVALÊNCIA - Fibras A</t>
  </si>
  <si>
    <t>Chia</t>
  </si>
  <si>
    <t>Linhaça</t>
  </si>
  <si>
    <t>Psyllium</t>
  </si>
  <si>
    <t>Canela em pó</t>
  </si>
  <si>
    <t>Cacau em pó</t>
  </si>
  <si>
    <t>CALCULADORA DE EQUIVALÊNCIA - Fibras B</t>
  </si>
  <si>
    <t>Abacaxi</t>
  </si>
  <si>
    <t>Ameixa crua</t>
  </si>
  <si>
    <t>Banana Maçã</t>
  </si>
  <si>
    <t>Banana nanica</t>
  </si>
  <si>
    <t>Banana prata</t>
  </si>
  <si>
    <t>Caju cru</t>
  </si>
  <si>
    <t>Caqui</t>
  </si>
  <si>
    <t>Goiaba</t>
  </si>
  <si>
    <t>Kiwi</t>
  </si>
  <si>
    <t>Laranja pêra</t>
  </si>
  <si>
    <t>Maçã argentina</t>
  </si>
  <si>
    <t>Maçã fuji</t>
  </si>
  <si>
    <t>Mamão formosa</t>
  </si>
  <si>
    <t>Mamão papaia</t>
  </si>
  <si>
    <t>Manga</t>
  </si>
  <si>
    <t>Melancia</t>
  </si>
  <si>
    <t>Melão</t>
  </si>
  <si>
    <t>Morango</t>
  </si>
  <si>
    <t>Pera Willians crua</t>
  </si>
  <si>
    <t>Pêssego</t>
  </si>
  <si>
    <t>Uva Rubi ou Itália</t>
  </si>
  <si>
    <t xml:space="preserve">CALCULADORA DE EQUIVALÊNCIA - Frutas </t>
  </si>
  <si>
    <t>Abacate</t>
  </si>
  <si>
    <t>Avocado</t>
  </si>
  <si>
    <t>Coco cru</t>
  </si>
  <si>
    <t>CALCULADORA DE EQUIVALÊNCIA - Frutas Oleosas</t>
  </si>
  <si>
    <t xml:space="preserve">Coalhada Natural </t>
  </si>
  <si>
    <t>Creme de ricota</t>
  </si>
  <si>
    <t>Iogurte grego desnatado</t>
  </si>
  <si>
    <t>Iogurte natural</t>
  </si>
  <si>
    <t>Leite de vaca, integral, pó</t>
  </si>
  <si>
    <t>Leite de vaca, desnatado, pó</t>
  </si>
  <si>
    <t>Leite de vaca, semidesnatado, pó</t>
  </si>
  <si>
    <t>Leite de vaca, integral, líquido</t>
  </si>
  <si>
    <t>Leite de vaca, desnatado, líquido</t>
  </si>
  <si>
    <t>Leite de vaca, semidesnatado, líquido</t>
  </si>
  <si>
    <t>Leite de vaca, sem lactose, líquido</t>
  </si>
  <si>
    <t>Leite de soja (enriquecido com cálcio)</t>
  </si>
  <si>
    <t>Queijo coalho</t>
  </si>
  <si>
    <t>Queijo minas frescal</t>
  </si>
  <si>
    <t>Queijo muçarela</t>
  </si>
  <si>
    <t>Queijo prato</t>
  </si>
  <si>
    <t>Queijo tipo cottage</t>
  </si>
  <si>
    <t>Requeijão cremoso</t>
  </si>
  <si>
    <t>CALCULADORA DE EQUIVALÊNCIA - Leite e Derivados</t>
  </si>
  <si>
    <t>Açaí polpa</t>
  </si>
  <si>
    <t>Acaí polpa com xarope de guraná</t>
  </si>
  <si>
    <t>Chocolate ao leite</t>
  </si>
  <si>
    <t>Chocolate meio amargo</t>
  </si>
  <si>
    <t>Doce de leite</t>
  </si>
  <si>
    <t>Leite condensado</t>
  </si>
  <si>
    <t>Nesquik em pó</t>
  </si>
  <si>
    <t>Nescau em pó</t>
  </si>
  <si>
    <t xml:space="preserve">Sorvete </t>
  </si>
  <si>
    <t>Sucrilhos</t>
  </si>
  <si>
    <t>Toddy em pó</t>
  </si>
  <si>
    <t>CALCULADORA DE EQUIVALÊNCIA - Livre</t>
  </si>
  <si>
    <t>Amêndoa</t>
  </si>
  <si>
    <t>Amendoim torrado</t>
  </si>
  <si>
    <t>Avelã</t>
  </si>
  <si>
    <t>Castanha de caju</t>
  </si>
  <si>
    <t>Castanha-do-Brasil/Pará crua</t>
  </si>
  <si>
    <t>Farinha de linhaça dourada</t>
  </si>
  <si>
    <t>Noz crua</t>
  </si>
  <si>
    <t>Pasta de amendoim integral</t>
  </si>
  <si>
    <t>Pistache cru</t>
  </si>
  <si>
    <t>Semente de abóbora</t>
  </si>
  <si>
    <t>Semente de chia</t>
  </si>
  <si>
    <t>Semente de girassol</t>
  </si>
  <si>
    <t>Semente de linhaça</t>
  </si>
  <si>
    <t>CALCULADORA DE EQUIVALÊNCIA - Oleaginosas e Sementes</t>
  </si>
  <si>
    <t>Azeite extra virgem</t>
  </si>
  <si>
    <t>Manteiga sem sal</t>
  </si>
  <si>
    <t>Óleo de Abacate</t>
  </si>
  <si>
    <t>Óleo de Castanha do Pará</t>
  </si>
  <si>
    <t>Óleo de linhaça</t>
  </si>
  <si>
    <t>Óleo de soja</t>
  </si>
  <si>
    <t xml:space="preserve">CALCULADORA DE EQUIVALÊNCIA - Óleos e Gorduras </t>
  </si>
  <si>
    <t>Cuscuz de milho</t>
  </si>
  <si>
    <t>Pão de forma de milho</t>
  </si>
  <si>
    <t>Pão de forma integral</t>
  </si>
  <si>
    <t>Pão de forma tradicional</t>
  </si>
  <si>
    <t>Pão francês</t>
  </si>
  <si>
    <t>Pão tipo folha/rap</t>
  </si>
  <si>
    <t>Pipoca</t>
  </si>
  <si>
    <t xml:space="preserve">Tapioca </t>
  </si>
  <si>
    <t>Torrada integral</t>
  </si>
  <si>
    <t>CALCULADORA DE EQUIVALÊNCIA - Pães e Variedades</t>
  </si>
  <si>
    <t>Farinha de Arroz</t>
  </si>
  <si>
    <t>Aveia Flocos</t>
  </si>
  <si>
    <t>Aveia Farelo</t>
  </si>
  <si>
    <t>Sucrilhoss</t>
  </si>
  <si>
    <t>Pão frances</t>
  </si>
  <si>
    <t>Tapioca</t>
  </si>
  <si>
    <t>Pão de forma</t>
  </si>
  <si>
    <t>Rap 10</t>
  </si>
  <si>
    <t>Pão pita (arabe ou sirio)</t>
  </si>
  <si>
    <t>Arroz branco</t>
  </si>
  <si>
    <t>Batata (inglesa ou doce)</t>
  </si>
  <si>
    <t>Nhoque (de batata sem molho)</t>
  </si>
  <si>
    <t>Macarrão (com molho de tomate)</t>
  </si>
  <si>
    <t>Mandioca</t>
  </si>
  <si>
    <t>Pão de hamburguer</t>
  </si>
  <si>
    <t>Mandioquinha (cozida ou assada)</t>
  </si>
  <si>
    <t>Abobora (cabotia ou moranga)</t>
  </si>
  <si>
    <t>Pipoca só com sal</t>
  </si>
  <si>
    <t>Lasanha</t>
  </si>
  <si>
    <t xml:space="preserve">Pamonha </t>
  </si>
  <si>
    <t>Cuscuz (cozido com sal)</t>
  </si>
  <si>
    <t>CALCULADORA DE EQUIVALÊNCIA - Personalizado - CARB</t>
  </si>
  <si>
    <t>Bacon</t>
  </si>
  <si>
    <t>Margarina Becel</t>
  </si>
  <si>
    <t>Requeijão</t>
  </si>
  <si>
    <t>Queijo Cottage</t>
  </si>
  <si>
    <t>Mussarela</t>
  </si>
  <si>
    <t>Ricota</t>
  </si>
  <si>
    <t>Queijo Minas</t>
  </si>
  <si>
    <t>Manteiga aviação</t>
  </si>
  <si>
    <t>Pasta de amendoim</t>
  </si>
  <si>
    <t>CALCULADORA DE EQUIVALÊNCIA - Personalizado - LIP</t>
  </si>
  <si>
    <t>Filé de sobrecoxa</t>
  </si>
  <si>
    <t>Peito de Frango</t>
  </si>
  <si>
    <t>Figado de frango</t>
  </si>
  <si>
    <t>Moela de frango</t>
  </si>
  <si>
    <t>Acem</t>
  </si>
  <si>
    <t>Coração de galinha grelhado</t>
  </si>
  <si>
    <t>Figado de Boi</t>
  </si>
  <si>
    <t>Filé mignon Suino</t>
  </si>
  <si>
    <t>Lombo suino</t>
  </si>
  <si>
    <t>Carne seca bovina</t>
  </si>
  <si>
    <t>Salmão Filé ou Posta</t>
  </si>
  <si>
    <t>Whey Protein 80%</t>
  </si>
  <si>
    <t>CALCULADORA DE EQUIVALÊNCIA - Personalizado - PROT</t>
  </si>
  <si>
    <t>Suco de abacaxi</t>
  </si>
  <si>
    <t>Suco de laranja</t>
  </si>
  <si>
    <t>Suco de limão</t>
  </si>
  <si>
    <t>Suco de maracujá</t>
  </si>
  <si>
    <t>Suco integral de uva</t>
  </si>
  <si>
    <t>CALCULADORA DE EQUIVALÊNCIA - Sucos Naturais e Integrais</t>
  </si>
  <si>
    <t>Abobrinha</t>
  </si>
  <si>
    <t>Acelga</t>
  </si>
  <si>
    <t>Agrião</t>
  </si>
  <si>
    <t>Alface</t>
  </si>
  <si>
    <t>Aspargo</t>
  </si>
  <si>
    <t>Berinjela</t>
  </si>
  <si>
    <t>Brócolis</t>
  </si>
  <si>
    <t>Brotos</t>
  </si>
  <si>
    <t>Cebola</t>
  </si>
  <si>
    <t>Chicória</t>
  </si>
  <si>
    <t>Cogumelos</t>
  </si>
  <si>
    <t>Couve</t>
  </si>
  <si>
    <t>Couve-flor</t>
  </si>
  <si>
    <t>Espinafre</t>
  </si>
  <si>
    <t>Mostarda</t>
  </si>
  <si>
    <t>Palmito</t>
  </si>
  <si>
    <t>Pepino</t>
  </si>
  <si>
    <t>Pimentão</t>
  </si>
  <si>
    <t>Rabanete</t>
  </si>
  <si>
    <t>Repolho</t>
  </si>
  <si>
    <t>Rúcula</t>
  </si>
  <si>
    <t>Tomate</t>
  </si>
  <si>
    <t>CALCULADORA DE EQUIVALÊNCIA - Vegetais A (livres para o consumo)</t>
  </si>
  <si>
    <t>Abóbora, cabotian, refogada</t>
  </si>
  <si>
    <t>Abóbora, moranga, refogada</t>
  </si>
  <si>
    <t>Beterraba</t>
  </si>
  <si>
    <t>Cenoura</t>
  </si>
  <si>
    <t>Chuchu</t>
  </si>
  <si>
    <t>Ervilha</t>
  </si>
  <si>
    <t>Nabo</t>
  </si>
  <si>
    <t>Quiabo</t>
  </si>
  <si>
    <t>Shimeji</t>
  </si>
  <si>
    <t>Shitake</t>
  </si>
  <si>
    <t>Vagem</t>
  </si>
  <si>
    <t>CALCULADORA DE EQUIVALÊNCIA - Vegetais B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</si>
</sst>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2" fillId="0" borderId="0" xfId="0" applyFont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0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24</v>
      </c>
    </row>
    <row r="2" spans="1:6">
      <c r="A2" s="1" t="s">
        <v>25</v>
      </c>
      <c r="B2" s="2">
        <v>100</v>
      </c>
    </row>
    <row r="3" spans="1:6">
      <c r="A3" s="1" t="s">
        <v>26</v>
      </c>
    </row>
    <row r="4" spans="1:6">
      <c r="A4" s="3" t="s">
        <v>27</v>
      </c>
      <c r="B4" t="s">
        <v>28</v>
      </c>
    </row>
    <row r="6" spans="1:6">
      <c r="A6" t="s">
        <v>9</v>
      </c>
      <c r="B6" t="s">
        <v>10</v>
      </c>
      <c r="C6" t="s">
        <v>11</v>
      </c>
      <c r="D6" t="s">
        <v>12</v>
      </c>
      <c r="E6" t="s">
        <v>13</v>
      </c>
      <c r="F6" s="1" t="s">
        <v>29</v>
      </c>
    </row>
    <row r="7" spans="1:6">
      <c r="A7" t="s">
        <v>14</v>
      </c>
      <c r="B7">
        <v>340</v>
      </c>
      <c r="C7">
        <v>5</v>
      </c>
      <c r="D7">
        <v>80</v>
      </c>
      <c r="E7">
        <v>0</v>
      </c>
      <c r="F7" s="4">
        <f>($B$2 * C7) / C7</f>
        <v>0</v>
      </c>
    </row>
    <row r="8" spans="1:6">
      <c r="A8" t="s">
        <v>15</v>
      </c>
      <c r="B8">
        <v>210.2346655796369</v>
      </c>
      <c r="C8">
        <v>0</v>
      </c>
      <c r="D8">
        <v>35.725</v>
      </c>
      <c r="E8">
        <v>6.395666666666667</v>
      </c>
      <c r="F8" s="4">
        <f>($B$2 * C7) / C8</f>
        <v>0</v>
      </c>
    </row>
    <row r="9" spans="1:6">
      <c r="A9" t="s">
        <v>16</v>
      </c>
      <c r="B9">
        <v>219.2592666666666</v>
      </c>
      <c r="C9">
        <v>0</v>
      </c>
      <c r="D9">
        <v>35.9</v>
      </c>
      <c r="E9">
        <v>7.313333333333333</v>
      </c>
      <c r="F9" s="4">
        <f>($B$2 * C7) / C9</f>
        <v>0</v>
      </c>
    </row>
    <row r="10" spans="1:6">
      <c r="A10" t="s">
        <v>17</v>
      </c>
      <c r="B10">
        <v>56.99999999999999</v>
      </c>
      <c r="C10">
        <v>0.5600000000000001</v>
      </c>
      <c r="D10">
        <v>13.4</v>
      </c>
      <c r="E10">
        <v>0.9000000000000001</v>
      </c>
      <c r="F10" s="4">
        <f>($B$2 * C7) / C10</f>
        <v>0</v>
      </c>
    </row>
    <row r="11" spans="1:6">
      <c r="A11" t="s">
        <v>18</v>
      </c>
      <c r="B11">
        <v>198.75</v>
      </c>
      <c r="C11">
        <v>1.3075</v>
      </c>
      <c r="D11">
        <v>13.4</v>
      </c>
      <c r="E11">
        <v>15.4</v>
      </c>
      <c r="F11" s="4">
        <f>($B$2 * C7) / C11</f>
        <v>0</v>
      </c>
    </row>
    <row r="12" spans="1:6">
      <c r="A12" t="s">
        <v>19</v>
      </c>
      <c r="B12">
        <v>159.1850071926117</v>
      </c>
      <c r="C12">
        <v>0</v>
      </c>
      <c r="D12">
        <v>32.03333333333334</v>
      </c>
      <c r="E12">
        <v>2.483666666666667</v>
      </c>
      <c r="F12" s="4">
        <f>($B$2 * C7) / C12</f>
        <v>0</v>
      </c>
    </row>
    <row r="13" spans="1:6">
      <c r="A13" t="s">
        <v>20</v>
      </c>
      <c r="B13">
        <v>165.9105605789026</v>
      </c>
      <c r="C13">
        <v>0</v>
      </c>
      <c r="D13">
        <v>26.1875</v>
      </c>
      <c r="E13">
        <v>5.996666666666666</v>
      </c>
      <c r="F13" s="4">
        <f>($B$2 * C7) / C13</f>
        <v>0</v>
      </c>
    </row>
    <row r="14" spans="1:6">
      <c r="A14" t="s">
        <v>21</v>
      </c>
      <c r="B14">
        <v>408</v>
      </c>
      <c r="C14">
        <v>10</v>
      </c>
      <c r="D14">
        <v>80</v>
      </c>
      <c r="E14">
        <v>5.333333333333334</v>
      </c>
      <c r="F14" s="4">
        <f>($B$2 * C7) / C14</f>
        <v>0</v>
      </c>
    </row>
    <row r="15" spans="1:6">
      <c r="A15" t="s">
        <v>22</v>
      </c>
      <c r="B15">
        <v>121</v>
      </c>
      <c r="C15">
        <v>2.32</v>
      </c>
      <c r="D15">
        <v>15.1</v>
      </c>
      <c r="E15">
        <v>5.7</v>
      </c>
      <c r="F15" s="4">
        <f>($B$2 * C7) / C15</f>
        <v>0</v>
      </c>
    </row>
    <row r="16" spans="1:6">
      <c r="A16" t="s">
        <v>23</v>
      </c>
      <c r="B16">
        <v>110</v>
      </c>
      <c r="C16">
        <v>3.75</v>
      </c>
      <c r="D16">
        <v>20</v>
      </c>
      <c r="E16">
        <v>1.75</v>
      </c>
      <c r="F16" s="4">
        <f>($B$2 * C7) / C16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45</v>
      </c>
    </row>
    <row r="2" spans="1:6">
      <c r="A2" s="1" t="s">
        <v>25</v>
      </c>
      <c r="B2" s="2">
        <v>100</v>
      </c>
    </row>
    <row r="3" spans="1:6">
      <c r="A3" s="1" t="s">
        <v>26</v>
      </c>
    </row>
    <row r="4" spans="1:6">
      <c r="A4" s="3" t="s">
        <v>27</v>
      </c>
      <c r="B4" t="s">
        <v>28</v>
      </c>
    </row>
    <row r="6" spans="1:6">
      <c r="A6" t="s">
        <v>9</v>
      </c>
      <c r="B6" t="s">
        <v>10</v>
      </c>
      <c r="C6" t="s">
        <v>11</v>
      </c>
      <c r="D6" t="s">
        <v>12</v>
      </c>
      <c r="E6" t="s">
        <v>13</v>
      </c>
      <c r="F6" s="1" t="s">
        <v>29</v>
      </c>
    </row>
    <row r="7" spans="1:6">
      <c r="A7" t="s">
        <v>30</v>
      </c>
      <c r="B7">
        <v>50</v>
      </c>
      <c r="C7">
        <v>8.300000000000001</v>
      </c>
      <c r="D7">
        <v>1.44</v>
      </c>
      <c r="E7">
        <v>0.73</v>
      </c>
      <c r="F7" s="4">
        <f>($B$2 * C7) / C7</f>
        <v>0</v>
      </c>
    </row>
    <row r="8" spans="1:6">
      <c r="A8" t="s">
        <v>31</v>
      </c>
      <c r="B8">
        <v>29.00382203175622</v>
      </c>
      <c r="C8">
        <v>5.981916666666661</v>
      </c>
      <c r="D8">
        <v>0.39375</v>
      </c>
      <c r="E8">
        <v>0.799</v>
      </c>
      <c r="F8" s="4">
        <f>($B$2 * C7) / C8</f>
        <v>0</v>
      </c>
    </row>
    <row r="9" spans="1:6">
      <c r="A9" t="s">
        <v>32</v>
      </c>
      <c r="B9">
        <v>342.2222222222222</v>
      </c>
      <c r="C9">
        <v>71.11111111111111</v>
      </c>
      <c r="D9">
        <v>9.111111111111111</v>
      </c>
      <c r="E9">
        <v>4.222222222222222</v>
      </c>
      <c r="F9" s="4">
        <f>($B$2 * C7) / C9</f>
        <v>0</v>
      </c>
    </row>
    <row r="10" spans="1:6">
      <c r="A10" t="s">
        <v>33</v>
      </c>
      <c r="B10">
        <v>128.2584856666666</v>
      </c>
      <c r="C10">
        <v>28.05984999999999</v>
      </c>
      <c r="D10">
        <v>2.520816666666667</v>
      </c>
      <c r="E10">
        <v>0.227</v>
      </c>
      <c r="F10" s="4">
        <f>($B$2 * C7) / C10</f>
        <v>0</v>
      </c>
    </row>
    <row r="11" spans="1:6">
      <c r="A11" t="s">
        <v>34</v>
      </c>
      <c r="B11">
        <v>123.5348925</v>
      </c>
      <c r="C11">
        <v>25.80975</v>
      </c>
      <c r="D11">
        <v>2.58825</v>
      </c>
      <c r="E11">
        <v>1.000333333333333</v>
      </c>
      <c r="F11" s="4">
        <f>($B$2 * C7) / C11</f>
        <v>0</v>
      </c>
    </row>
    <row r="12" spans="1:6">
      <c r="A12" t="s">
        <v>35</v>
      </c>
      <c r="B12">
        <v>80.11976250000004</v>
      </c>
      <c r="C12">
        <v>18.94758333333333</v>
      </c>
      <c r="D12">
        <v>0.8520833333333333</v>
      </c>
      <c r="E12">
        <v>0.1663333333333333</v>
      </c>
      <c r="F12" s="4">
        <f>($B$2 * C7) / C12</f>
        <v>0</v>
      </c>
    </row>
    <row r="13" spans="1:6">
      <c r="A13" t="s">
        <v>36</v>
      </c>
      <c r="B13">
        <v>76.75961050343517</v>
      </c>
      <c r="C13">
        <v>18.42233333333334</v>
      </c>
      <c r="D13">
        <v>0.6416666666666667</v>
      </c>
      <c r="E13">
        <v>0.08766666666666667</v>
      </c>
      <c r="F13" s="4">
        <f>($B$2 * C7) / C13</f>
        <v>0</v>
      </c>
    </row>
    <row r="14" spans="1:6">
      <c r="A14" t="s">
        <v>37</v>
      </c>
      <c r="B14">
        <v>51.58847663627066</v>
      </c>
      <c r="C14">
        <v>11.94375</v>
      </c>
      <c r="D14">
        <v>1.164583333333333</v>
      </c>
      <c r="F14" s="4">
        <f>($B$2 * C7) / C14</f>
        <v>0</v>
      </c>
    </row>
    <row r="15" spans="1:6">
      <c r="A15" t="s">
        <v>38</v>
      </c>
      <c r="B15">
        <v>32.15432433140276</v>
      </c>
      <c r="C15">
        <v>7.234916666666663</v>
      </c>
      <c r="D15">
        <v>1.29375</v>
      </c>
      <c r="E15">
        <v>0.09266666666666667</v>
      </c>
      <c r="F15" s="4">
        <f>($B$2 * C7) / C15</f>
        <v>0</v>
      </c>
    </row>
    <row r="16" spans="1:6">
      <c r="A16" t="s">
        <v>39</v>
      </c>
      <c r="B16">
        <v>29.86177771015958</v>
      </c>
      <c r="C16">
        <v>6.686749999999989</v>
      </c>
      <c r="D16">
        <v>0.8479166666666668</v>
      </c>
      <c r="E16">
        <v>0.2183333333333334</v>
      </c>
      <c r="F16" s="4">
        <f>($B$2 * C7) / C16</f>
        <v>0</v>
      </c>
    </row>
    <row r="17" spans="1:6">
      <c r="A17" t="s">
        <v>40</v>
      </c>
      <c r="B17">
        <v>114</v>
      </c>
      <c r="C17">
        <v>19.1</v>
      </c>
      <c r="D17">
        <v>4.27</v>
      </c>
      <c r="E17">
        <v>1.5</v>
      </c>
      <c r="F17" s="4">
        <f>($B$2 * C7) / C17</f>
        <v>0</v>
      </c>
    </row>
    <row r="18" spans="1:6">
      <c r="A18" t="s">
        <v>41</v>
      </c>
      <c r="B18">
        <v>115</v>
      </c>
      <c r="C18">
        <v>22.9</v>
      </c>
      <c r="D18">
        <v>3.19</v>
      </c>
      <c r="E18">
        <v>1.49</v>
      </c>
      <c r="F18" s="4">
        <f>($B$2 * C7) / C18</f>
        <v>0</v>
      </c>
    </row>
    <row r="19" spans="1:6">
      <c r="A19" t="s">
        <v>42</v>
      </c>
      <c r="B19">
        <v>180</v>
      </c>
      <c r="C19">
        <v>25</v>
      </c>
      <c r="D19">
        <v>3.66</v>
      </c>
      <c r="E19">
        <v>7.08</v>
      </c>
      <c r="F19" s="4">
        <f>($B$2 * C7) / C19</f>
        <v>0</v>
      </c>
    </row>
    <row r="20" spans="1:6">
      <c r="A20" t="s">
        <v>43</v>
      </c>
      <c r="B20">
        <v>125.35825</v>
      </c>
      <c r="C20">
        <v>30.09</v>
      </c>
      <c r="D20">
        <v>0.575</v>
      </c>
      <c r="E20">
        <v>0.2983333333333333</v>
      </c>
      <c r="F20" s="4">
        <f>($B$2 * C7) / C20</f>
        <v>0</v>
      </c>
    </row>
    <row r="21" spans="1:6">
      <c r="A21" t="s">
        <v>44</v>
      </c>
      <c r="B21">
        <v>97.56489420289851</v>
      </c>
      <c r="C21">
        <v>17.13507246376811</v>
      </c>
      <c r="D21">
        <v>3.228260869565218</v>
      </c>
      <c r="E21">
        <v>2.353333333333333</v>
      </c>
      <c r="F21" s="4">
        <f>($B$2 * C7) / C21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s="1" t="s">
        <v>55</v>
      </c>
    </row>
    <row r="2" spans="1:6">
      <c r="A2" s="1" t="s">
        <v>25</v>
      </c>
      <c r="B2" s="2">
        <v>100</v>
      </c>
    </row>
    <row r="3" spans="1:6">
      <c r="A3" s="1" t="s">
        <v>26</v>
      </c>
    </row>
    <row r="4" spans="1:6">
      <c r="A4" s="3" t="s">
        <v>27</v>
      </c>
      <c r="B4" t="s">
        <v>28</v>
      </c>
    </row>
    <row r="6" spans="1:6">
      <c r="A6" t="s">
        <v>9</v>
      </c>
      <c r="B6" t="s">
        <v>10</v>
      </c>
      <c r="C6" t="s">
        <v>11</v>
      </c>
      <c r="D6" t="s">
        <v>12</v>
      </c>
      <c r="E6" t="s">
        <v>13</v>
      </c>
      <c r="F6" s="1" t="s">
        <v>29</v>
      </c>
    </row>
    <row r="7" spans="1:6">
      <c r="A7" t="s">
        <v>46</v>
      </c>
      <c r="B7">
        <v>73.8447043478261</v>
      </c>
      <c r="C7">
        <v>13.44217391304348</v>
      </c>
      <c r="D7">
        <v>4.597826086956522</v>
      </c>
      <c r="E7">
        <v>0.38</v>
      </c>
      <c r="F7" s="4">
        <f>($B$2 * C7) / C7</f>
        <v>0</v>
      </c>
    </row>
    <row r="8" spans="1:6">
      <c r="A8" t="s">
        <v>47</v>
      </c>
      <c r="B8">
        <v>88.09358199977854</v>
      </c>
      <c r="C8">
        <v>14.22758333333333</v>
      </c>
      <c r="D8">
        <v>7.452083333333333</v>
      </c>
      <c r="E8">
        <v>0.471</v>
      </c>
      <c r="F8" s="4">
        <f>($B$2 * C7) / C8</f>
        <v>0</v>
      </c>
    </row>
    <row r="9" spans="1:6">
      <c r="A9" t="s">
        <v>48</v>
      </c>
      <c r="B9">
        <v>128</v>
      </c>
      <c r="C9">
        <v>24.77</v>
      </c>
      <c r="D9">
        <v>7.52</v>
      </c>
      <c r="E9">
        <v>0.1</v>
      </c>
      <c r="F9" s="4">
        <f>($B$2 * C7) / C9</f>
        <v>0</v>
      </c>
    </row>
    <row r="10" spans="1:6">
      <c r="A10" t="s">
        <v>49</v>
      </c>
      <c r="B10">
        <v>130</v>
      </c>
      <c r="C10">
        <v>18.8</v>
      </c>
      <c r="D10">
        <v>9.73</v>
      </c>
      <c r="E10">
        <v>0.35</v>
      </c>
      <c r="F10" s="4">
        <f>($B$2 * C7) / C10</f>
        <v>0</v>
      </c>
    </row>
    <row r="11" spans="1:6">
      <c r="A11" t="s">
        <v>50</v>
      </c>
      <c r="B11">
        <v>76.42408566666668</v>
      </c>
      <c r="C11">
        <v>13.59103333333333</v>
      </c>
      <c r="D11">
        <v>4.775</v>
      </c>
      <c r="E11">
        <v>0.5423333333333334</v>
      </c>
      <c r="F11" s="4">
        <f>($B$2 * C7) / C11</f>
        <v>0</v>
      </c>
    </row>
    <row r="12" spans="1:6">
      <c r="A12" t="s">
        <v>51</v>
      </c>
      <c r="B12">
        <v>78.00889666666667</v>
      </c>
      <c r="C12">
        <v>13.49958333333334</v>
      </c>
      <c r="D12">
        <v>5.09375</v>
      </c>
      <c r="E12">
        <v>0.644</v>
      </c>
      <c r="F12" s="4">
        <f>($B$2 * C7) / C12</f>
        <v>0</v>
      </c>
    </row>
    <row r="13" spans="1:6">
      <c r="A13" t="s">
        <v>52</v>
      </c>
      <c r="B13">
        <v>77.02726666666668</v>
      </c>
      <c r="C13">
        <v>14.00516666666666</v>
      </c>
      <c r="D13">
        <v>4.479166666666667</v>
      </c>
      <c r="E13">
        <v>0.5356666666666666</v>
      </c>
      <c r="F13" s="4">
        <f>($B$2 * C7) / C13</f>
        <v>0</v>
      </c>
    </row>
    <row r="14" spans="1:6">
      <c r="A14" t="s">
        <v>53</v>
      </c>
      <c r="B14">
        <v>114</v>
      </c>
      <c r="C14">
        <v>13.2</v>
      </c>
      <c r="D14">
        <v>7.48</v>
      </c>
      <c r="E14">
        <v>1.84</v>
      </c>
      <c r="F14" s="4">
        <f>($B$2 * C7) / C14</f>
        <v>0</v>
      </c>
    </row>
    <row r="15" spans="1:6">
      <c r="A15" t="s">
        <v>54</v>
      </c>
      <c r="B15">
        <v>92.63876625229915</v>
      </c>
      <c r="C15">
        <v>16.30224999999999</v>
      </c>
      <c r="D15">
        <v>6.310416666666667</v>
      </c>
      <c r="E15">
        <v>0.5246666666666667</v>
      </c>
      <c r="F15" s="4">
        <f>($B$2 * C7) / C15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59</v>
      </c>
    </row>
    <row r="2" spans="1:6">
      <c r="A2" s="1" t="s">
        <v>25</v>
      </c>
      <c r="B2" s="2">
        <v>100</v>
      </c>
    </row>
    <row r="3" spans="1:6">
      <c r="A3" s="1" t="s">
        <v>26</v>
      </c>
    </row>
    <row r="4" spans="1:6">
      <c r="A4" s="3" t="s">
        <v>27</v>
      </c>
      <c r="B4" t="s">
        <v>28</v>
      </c>
    </row>
    <row r="6" spans="1:6">
      <c r="A6" t="s">
        <v>9</v>
      </c>
      <c r="B6" t="s">
        <v>10</v>
      </c>
      <c r="C6" t="s">
        <v>11</v>
      </c>
      <c r="D6" t="s">
        <v>12</v>
      </c>
      <c r="E6" t="s">
        <v>13</v>
      </c>
      <c r="F6" s="1" t="s">
        <v>29</v>
      </c>
    </row>
    <row r="7" spans="1:6">
      <c r="A7" t="s">
        <v>56</v>
      </c>
      <c r="B7">
        <v>393.8226894492755</v>
      </c>
      <c r="C7">
        <v>66.63564057971016</v>
      </c>
      <c r="D7">
        <v>13.92102608695652</v>
      </c>
      <c r="E7">
        <v>8.496666666666666</v>
      </c>
      <c r="F7" s="4">
        <f>($B$2 * C7) / C7</f>
        <v>0</v>
      </c>
    </row>
    <row r="8" spans="1:6">
      <c r="A8" t="s">
        <v>57</v>
      </c>
      <c r="B8">
        <v>340</v>
      </c>
      <c r="C8">
        <v>42.00000000000001</v>
      </c>
      <c r="D8">
        <v>18</v>
      </c>
      <c r="E8">
        <v>11</v>
      </c>
      <c r="F8" s="4">
        <f>($B$2 * C7) / C8</f>
        <v>0</v>
      </c>
    </row>
    <row r="9" spans="1:6">
      <c r="A9" t="s">
        <v>58</v>
      </c>
      <c r="B9">
        <v>490.0000000000001</v>
      </c>
      <c r="C9">
        <v>55.99999999999999</v>
      </c>
      <c r="D9">
        <v>12</v>
      </c>
      <c r="E9">
        <v>27</v>
      </c>
      <c r="F9" s="4">
        <f>($B$2 * C7) / C9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65</v>
      </c>
    </row>
    <row r="2" spans="1:6">
      <c r="A2" s="1" t="s">
        <v>25</v>
      </c>
      <c r="B2" s="2">
        <v>100</v>
      </c>
    </row>
    <row r="3" spans="1:6">
      <c r="A3" s="1" t="s">
        <v>26</v>
      </c>
    </row>
    <row r="4" spans="1:6">
      <c r="A4" s="3" t="s">
        <v>27</v>
      </c>
      <c r="B4" t="s">
        <v>28</v>
      </c>
    </row>
    <row r="6" spans="1:6">
      <c r="A6" t="s">
        <v>9</v>
      </c>
      <c r="B6" t="s">
        <v>10</v>
      </c>
      <c r="C6" t="s">
        <v>11</v>
      </c>
      <c r="D6" t="s">
        <v>12</v>
      </c>
      <c r="E6" t="s">
        <v>13</v>
      </c>
      <c r="F6" s="1" t="s">
        <v>29</v>
      </c>
    </row>
    <row r="7" spans="1:6">
      <c r="A7" t="s">
        <v>60</v>
      </c>
      <c r="B7">
        <v>443</v>
      </c>
      <c r="C7">
        <v>7.72</v>
      </c>
      <c r="D7">
        <v>16.5</v>
      </c>
      <c r="E7">
        <v>30.7</v>
      </c>
      <c r="F7" s="4">
        <f>($B$2 * C7) / C7</f>
        <v>0</v>
      </c>
    </row>
    <row r="8" spans="1:6">
      <c r="A8" t="s">
        <v>61</v>
      </c>
      <c r="B8">
        <v>453</v>
      </c>
      <c r="C8">
        <v>9.81</v>
      </c>
      <c r="D8">
        <v>14.1</v>
      </c>
      <c r="E8">
        <v>32.3</v>
      </c>
      <c r="F8" s="4">
        <f>($B$2 * C7) / C8</f>
        <v>0</v>
      </c>
    </row>
    <row r="9" spans="1:6">
      <c r="A9" t="s">
        <v>62</v>
      </c>
      <c r="B9">
        <v>443</v>
      </c>
      <c r="C9">
        <v>0</v>
      </c>
      <c r="D9">
        <v>0</v>
      </c>
      <c r="E9">
        <v>0</v>
      </c>
      <c r="F9" s="4">
        <f>($B$2 * C7) / C9</f>
        <v>0</v>
      </c>
    </row>
    <row r="10" spans="1:6">
      <c r="A10" t="s">
        <v>63</v>
      </c>
      <c r="B10">
        <v>243</v>
      </c>
      <c r="C10">
        <v>27.5</v>
      </c>
      <c r="D10">
        <v>3.99</v>
      </c>
      <c r="E10">
        <v>1.24</v>
      </c>
      <c r="F10" s="4">
        <f>($B$2 * C7) / C10</f>
        <v>0</v>
      </c>
    </row>
    <row r="11" spans="1:6">
      <c r="A11" t="s">
        <v>64</v>
      </c>
      <c r="B11">
        <v>359</v>
      </c>
      <c r="C11">
        <v>20.9</v>
      </c>
      <c r="D11">
        <v>19.6</v>
      </c>
      <c r="E11">
        <v>13.7</v>
      </c>
      <c r="F11" s="4">
        <f>($B$2 * C7) / C11</f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FormatPr defaultRowHeight="15"/>
  <sheetData>
    <row r="1" spans="1:6">
      <c r="A1" s="1" t="s">
        <v>87</v>
      </c>
    </row>
    <row r="2" spans="1:6">
      <c r="A2" s="1" t="s">
        <v>25</v>
      </c>
      <c r="B2" s="2">
        <v>100</v>
      </c>
    </row>
    <row r="3" spans="1:6">
      <c r="A3" s="1" t="s">
        <v>26</v>
      </c>
    </row>
    <row r="4" spans="1:6">
      <c r="A4" s="3" t="s">
        <v>27</v>
      </c>
      <c r="B4" t="s">
        <v>28</v>
      </c>
    </row>
    <row r="6" spans="1:6">
      <c r="A6" t="s">
        <v>9</v>
      </c>
      <c r="B6" t="s">
        <v>10</v>
      </c>
      <c r="C6" t="s">
        <v>11</v>
      </c>
      <c r="D6" t="s">
        <v>12</v>
      </c>
      <c r="E6" t="s">
        <v>13</v>
      </c>
      <c r="F6" s="1" t="s">
        <v>29</v>
      </c>
    </row>
    <row r="7" spans="1:6">
      <c r="A7" t="s">
        <v>66</v>
      </c>
      <c r="B7">
        <v>48.32221304347824</v>
      </c>
      <c r="C7">
        <v>12.33463768115941</v>
      </c>
      <c r="D7">
        <v>0.8586956521739131</v>
      </c>
      <c r="E7">
        <v>0.1233333333333333</v>
      </c>
      <c r="F7" s="4">
        <f>($B$2 * C7) / C7</f>
        <v>0</v>
      </c>
    </row>
    <row r="8" spans="1:6">
      <c r="A8" t="s">
        <v>67</v>
      </c>
      <c r="B8">
        <v>52.54248260869565</v>
      </c>
      <c r="C8">
        <v>13.85159420289855</v>
      </c>
      <c r="D8">
        <v>0.7717391304347826</v>
      </c>
      <c r="F8" s="4">
        <f>($B$2 * C7) / C8</f>
        <v>0</v>
      </c>
    </row>
    <row r="9" spans="1:6">
      <c r="A9" t="s">
        <v>68</v>
      </c>
      <c r="B9">
        <v>86.80533043478259</v>
      </c>
      <c r="C9">
        <v>22.3363768115942</v>
      </c>
      <c r="D9">
        <v>1.753623188405797</v>
      </c>
      <c r="E9">
        <v>0.06</v>
      </c>
      <c r="F9" s="4">
        <f>($B$2 * C7) / C9</f>
        <v>0</v>
      </c>
    </row>
    <row r="10" spans="1:6">
      <c r="A10" t="s">
        <v>69</v>
      </c>
      <c r="B10">
        <v>91.52884782608696</v>
      </c>
      <c r="C10">
        <v>23.84811594202899</v>
      </c>
      <c r="D10">
        <v>1.398550724637681</v>
      </c>
      <c r="E10">
        <v>0.1166666666666667</v>
      </c>
      <c r="F10" s="4">
        <f>($B$2 * C7) / C10</f>
        <v>0</v>
      </c>
    </row>
    <row r="11" spans="1:6">
      <c r="A11" t="s">
        <v>70</v>
      </c>
      <c r="B11">
        <v>98.24970217391306</v>
      </c>
      <c r="C11">
        <v>25.95688405797102</v>
      </c>
      <c r="D11">
        <v>1.268115942028986</v>
      </c>
      <c r="E11">
        <v>0.065</v>
      </c>
      <c r="F11" s="4">
        <f>($B$2 * C7) / C11</f>
        <v>0</v>
      </c>
    </row>
    <row r="12" spans="1:6">
      <c r="A12" t="s">
        <v>71</v>
      </c>
      <c r="B12">
        <v>43.06506852173911</v>
      </c>
      <c r="C12">
        <v>10.28898884057971</v>
      </c>
      <c r="D12">
        <v>0.9710144927536233</v>
      </c>
      <c r="E12">
        <v>0.33</v>
      </c>
      <c r="F12" s="4">
        <f>($B$2 * C7) / C12</f>
        <v>0</v>
      </c>
    </row>
    <row r="13" spans="1:6">
      <c r="A13" t="s">
        <v>72</v>
      </c>
      <c r="B13">
        <v>71.35001811164616</v>
      </c>
      <c r="C13">
        <v>19.32575</v>
      </c>
      <c r="D13">
        <v>0.35625</v>
      </c>
      <c r="E13">
        <v>0.06933333333333334</v>
      </c>
      <c r="F13" s="4">
        <f>($B$2 * C7) / C13</f>
        <v>0</v>
      </c>
    </row>
    <row r="14" spans="1:6">
      <c r="A14" t="s">
        <v>73</v>
      </c>
      <c r="B14">
        <v>54.16993043478262</v>
      </c>
      <c r="C14">
        <v>13.00971014492753</v>
      </c>
      <c r="D14">
        <v>1.08695652173913</v>
      </c>
      <c r="E14">
        <v>0.44</v>
      </c>
      <c r="F14" s="4">
        <f>($B$2 * C7) / C14</f>
        <v>0</v>
      </c>
    </row>
    <row r="15" spans="1:6">
      <c r="A15" t="s">
        <v>74</v>
      </c>
      <c r="B15">
        <v>51.13633043478264</v>
      </c>
      <c r="C15">
        <v>11.49971014492754</v>
      </c>
      <c r="D15">
        <v>1.33695652173913</v>
      </c>
      <c r="E15">
        <v>0.6266666666666666</v>
      </c>
      <c r="F15" s="4">
        <f>($B$2 * C7) / C15</f>
        <v>0</v>
      </c>
    </row>
    <row r="16" spans="1:6">
      <c r="A16" t="s">
        <v>75</v>
      </c>
      <c r="B16">
        <v>36.77376521739132</v>
      </c>
      <c r="C16">
        <v>8.946521739130437</v>
      </c>
      <c r="D16">
        <v>1.043478260869565</v>
      </c>
      <c r="E16">
        <v>0.1266666666666667</v>
      </c>
      <c r="F16" s="4">
        <f>($B$2 * C7) / C16</f>
        <v>0</v>
      </c>
    </row>
    <row r="17" spans="1:6">
      <c r="A17" t="s">
        <v>76</v>
      </c>
      <c r="B17">
        <v>62.53181836628912</v>
      </c>
      <c r="C17">
        <v>16.588</v>
      </c>
      <c r="D17">
        <v>0.225</v>
      </c>
      <c r="E17">
        <v>0.246</v>
      </c>
      <c r="F17" s="4">
        <f>($B$2 * C7) / C17</f>
        <v>0</v>
      </c>
    </row>
    <row r="18" spans="1:6">
      <c r="A18" t="s">
        <v>77</v>
      </c>
      <c r="B18">
        <v>55.51520000000005</v>
      </c>
      <c r="C18">
        <v>15.15333333333334</v>
      </c>
      <c r="D18">
        <v>0.2866666666666667</v>
      </c>
      <c r="F18" s="4">
        <f>($B$2 * C7) / C18</f>
        <v>0</v>
      </c>
    </row>
    <row r="19" spans="1:6">
      <c r="A19" t="s">
        <v>78</v>
      </c>
      <c r="B19">
        <v>45.34074782608691</v>
      </c>
      <c r="C19">
        <v>11.55478260869564</v>
      </c>
      <c r="D19">
        <v>0.8152173913043478</v>
      </c>
      <c r="E19">
        <v>0.12</v>
      </c>
      <c r="F19" s="4">
        <f>($B$2 * C7) / C19</f>
        <v>0</v>
      </c>
    </row>
    <row r="20" spans="1:6">
      <c r="A20" t="s">
        <v>79</v>
      </c>
      <c r="B20">
        <v>40.15676894229657</v>
      </c>
      <c r="C20">
        <v>10.43975000000002</v>
      </c>
      <c r="D20">
        <v>0.45625</v>
      </c>
      <c r="E20">
        <v>0.1243333333333333</v>
      </c>
      <c r="F20" s="4">
        <f>($B$2 * C7) / C20</f>
        <v>0</v>
      </c>
    </row>
    <row r="21" spans="1:6">
      <c r="A21" t="s">
        <v>80</v>
      </c>
      <c r="B21">
        <v>72.48673809168733</v>
      </c>
      <c r="C21">
        <v>19.35224999999999</v>
      </c>
      <c r="D21">
        <v>0.4104166666666667</v>
      </c>
      <c r="E21">
        <v>0.172</v>
      </c>
      <c r="F21" s="4">
        <f>($B$2 * C7) / C21</f>
        <v>0</v>
      </c>
    </row>
    <row r="22" spans="1:6">
      <c r="A22" t="s">
        <v>81</v>
      </c>
      <c r="B22">
        <v>32.60662608695646</v>
      </c>
      <c r="C22">
        <v>8.139275362318838</v>
      </c>
      <c r="D22">
        <v>0.8840579710144928</v>
      </c>
      <c r="F22" s="4">
        <f>($B$2 * C7) / C22</f>
        <v>0</v>
      </c>
    </row>
    <row r="23" spans="1:6">
      <c r="A23" t="s">
        <v>82</v>
      </c>
      <c r="B23">
        <v>29.36939130434781</v>
      </c>
      <c r="C23">
        <v>7.525797101449274</v>
      </c>
      <c r="D23">
        <v>0.6775362318840581</v>
      </c>
      <c r="F23" s="4">
        <f>($B$2 * C7) / C23</f>
        <v>0</v>
      </c>
    </row>
    <row r="24" spans="1:6">
      <c r="A24" t="s">
        <v>83</v>
      </c>
      <c r="B24">
        <v>30.14791739130435</v>
      </c>
      <c r="C24">
        <v>6.818405797101459</v>
      </c>
      <c r="D24">
        <v>0.8949275362318839</v>
      </c>
      <c r="E24">
        <v>0.31</v>
      </c>
      <c r="F24" s="4">
        <f>($B$2 * C7) / C24</f>
        <v>0</v>
      </c>
    </row>
    <row r="25" spans="1:6">
      <c r="A25" t="s">
        <v>84</v>
      </c>
      <c r="B25">
        <v>53.30904782608692</v>
      </c>
      <c r="C25">
        <v>14.02478260869564</v>
      </c>
      <c r="D25">
        <v>0.5652173913043479</v>
      </c>
      <c r="E25">
        <v>0.11</v>
      </c>
      <c r="F25" s="4">
        <f>($B$2 * C7) / C25</f>
        <v>0</v>
      </c>
    </row>
    <row r="26" spans="1:6">
      <c r="A26" t="s">
        <v>85</v>
      </c>
      <c r="B26">
        <v>36.32759902453422</v>
      </c>
      <c r="C26">
        <v>9.321000000000005</v>
      </c>
      <c r="D26">
        <v>0.825</v>
      </c>
      <c r="F26" s="4">
        <f>($B$2 * C7) / C26</f>
        <v>0</v>
      </c>
    </row>
    <row r="27" spans="1:6">
      <c r="A27" t="s">
        <v>86</v>
      </c>
      <c r="B27">
        <v>52.87310000000006</v>
      </c>
      <c r="C27">
        <v>13.57333333333334</v>
      </c>
      <c r="D27">
        <v>0.7463768115942029</v>
      </c>
      <c r="E27">
        <v>0.2033333333333333</v>
      </c>
      <c r="F27" s="4">
        <f>($B$2 * C7) / C27</f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91</v>
      </c>
    </row>
    <row r="2" spans="1:6">
      <c r="A2" s="1" t="s">
        <v>25</v>
      </c>
      <c r="B2" s="2">
        <v>100</v>
      </c>
    </row>
    <row r="3" spans="1:6">
      <c r="A3" s="1" t="s">
        <v>26</v>
      </c>
    </row>
    <row r="4" spans="1:6">
      <c r="A4" s="3" t="s">
        <v>27</v>
      </c>
      <c r="B4" t="s">
        <v>28</v>
      </c>
    </row>
    <row r="6" spans="1:6">
      <c r="A6" t="s">
        <v>9</v>
      </c>
      <c r="B6" t="s">
        <v>10</v>
      </c>
      <c r="C6" t="s">
        <v>11</v>
      </c>
      <c r="D6" t="s">
        <v>12</v>
      </c>
      <c r="E6" t="s">
        <v>13</v>
      </c>
      <c r="F6" s="1" t="s">
        <v>29</v>
      </c>
    </row>
    <row r="7" spans="1:6">
      <c r="A7" t="s">
        <v>88</v>
      </c>
      <c r="B7">
        <v>96.1547086956522</v>
      </c>
      <c r="C7">
        <v>6.030869565217396</v>
      </c>
      <c r="D7">
        <v>1.239130434782609</v>
      </c>
      <c r="E7">
        <v>8.396666666666667</v>
      </c>
      <c r="F7" s="4">
        <f>($B$2 * C7) / C7</f>
        <v>0</v>
      </c>
    </row>
    <row r="8" spans="1:6">
      <c r="A8" t="s">
        <v>89</v>
      </c>
      <c r="B8">
        <v>160</v>
      </c>
      <c r="C8">
        <v>1.83</v>
      </c>
      <c r="D8">
        <v>2</v>
      </c>
      <c r="E8">
        <v>14.7</v>
      </c>
      <c r="F8" s="4">
        <f>($B$2 * C7) / C8</f>
        <v>0</v>
      </c>
    </row>
    <row r="9" spans="1:6">
      <c r="A9" t="s">
        <v>90</v>
      </c>
      <c r="B9">
        <v>406.4873531078099</v>
      </c>
      <c r="C9">
        <v>10.40166587689303</v>
      </c>
      <c r="D9">
        <v>3.69183412310697</v>
      </c>
      <c r="E9">
        <v>41.97633333333334</v>
      </c>
      <c r="F9" s="4">
        <f>($B$2 * C7) / C9</f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FormatPr defaultRowHeight="15"/>
  <sheetData>
    <row r="1" spans="1:6">
      <c r="A1" s="1" t="s">
        <v>110</v>
      </c>
    </row>
    <row r="2" spans="1:6">
      <c r="A2" s="1" t="s">
        <v>25</v>
      </c>
      <c r="B2" s="2">
        <v>100</v>
      </c>
    </row>
    <row r="3" spans="1:6">
      <c r="A3" s="1" t="s">
        <v>26</v>
      </c>
    </row>
    <row r="4" spans="1:6">
      <c r="A4" s="3" t="s">
        <v>27</v>
      </c>
      <c r="B4" t="s">
        <v>28</v>
      </c>
    </row>
    <row r="6" spans="1:6">
      <c r="A6" t="s">
        <v>9</v>
      </c>
      <c r="B6" t="s">
        <v>10</v>
      </c>
      <c r="C6" t="s">
        <v>11</v>
      </c>
      <c r="D6" t="s">
        <v>12</v>
      </c>
      <c r="E6" t="s">
        <v>13</v>
      </c>
      <c r="F6" s="1" t="s">
        <v>29</v>
      </c>
    </row>
    <row r="7" spans="1:6">
      <c r="A7" t="s">
        <v>92</v>
      </c>
      <c r="B7">
        <v>147</v>
      </c>
      <c r="C7">
        <v>12.3</v>
      </c>
      <c r="D7">
        <v>10.4</v>
      </c>
      <c r="E7">
        <v>6.28</v>
      </c>
      <c r="F7" s="4">
        <f>($B$2 * C7) / C7</f>
        <v>0</v>
      </c>
    </row>
    <row r="8" spans="1:6">
      <c r="A8" t="s">
        <v>93</v>
      </c>
      <c r="B8">
        <v>138</v>
      </c>
      <c r="C8">
        <v>3.79</v>
      </c>
      <c r="D8">
        <v>12.6</v>
      </c>
      <c r="E8">
        <v>8.109999999999999</v>
      </c>
      <c r="F8" s="4">
        <f>($B$2 * C7) / C8</f>
        <v>0</v>
      </c>
    </row>
    <row r="9" spans="1:6">
      <c r="A9" t="s">
        <v>94</v>
      </c>
      <c r="B9">
        <v>96</v>
      </c>
      <c r="C9">
        <v>3.98</v>
      </c>
      <c r="D9">
        <v>9</v>
      </c>
      <c r="E9">
        <v>5</v>
      </c>
      <c r="F9" s="4">
        <f>($B$2 * C7) / C9</f>
        <v>0</v>
      </c>
    </row>
    <row r="10" spans="1:6">
      <c r="A10" t="s">
        <v>95</v>
      </c>
      <c r="B10">
        <v>51.48953333333329</v>
      </c>
      <c r="C10">
        <v>1.91666666666666</v>
      </c>
      <c r="D10">
        <v>4.063333333333333</v>
      </c>
      <c r="E10">
        <v>3.04</v>
      </c>
      <c r="F10" s="4">
        <f>($B$2 * C7) / C10</f>
        <v>0</v>
      </c>
    </row>
    <row r="11" spans="1:6">
      <c r="A11" t="s">
        <v>96</v>
      </c>
      <c r="B11">
        <v>496.6502999999999</v>
      </c>
      <c r="C11">
        <v>39.18</v>
      </c>
      <c r="D11">
        <v>25.42</v>
      </c>
      <c r="E11">
        <v>26.90333333333334</v>
      </c>
      <c r="F11" s="4">
        <f>($B$2 * C7) / C11</f>
        <v>0</v>
      </c>
    </row>
    <row r="12" spans="1:6">
      <c r="A12" t="s">
        <v>97</v>
      </c>
      <c r="B12">
        <v>362</v>
      </c>
      <c r="C12">
        <v>53</v>
      </c>
      <c r="D12">
        <v>34.7</v>
      </c>
      <c r="E12">
        <v>0.9</v>
      </c>
      <c r="F12" s="4">
        <f>($B$2 * C7) / C12</f>
        <v>0</v>
      </c>
    </row>
    <row r="13" spans="1:6">
      <c r="A13" t="s">
        <v>98</v>
      </c>
      <c r="B13">
        <v>404.5</v>
      </c>
      <c r="C13">
        <v>42.7</v>
      </c>
      <c r="D13">
        <v>30</v>
      </c>
      <c r="E13">
        <v>12.7</v>
      </c>
      <c r="F13" s="4">
        <f>($B$2 * C7) / C13</f>
        <v>0</v>
      </c>
    </row>
    <row r="14" spans="1:6">
      <c r="A14" t="s">
        <v>99</v>
      </c>
      <c r="B14">
        <v>65</v>
      </c>
      <c r="C14">
        <v>7.16</v>
      </c>
      <c r="D14">
        <v>2.35</v>
      </c>
      <c r="E14">
        <v>3.04</v>
      </c>
      <c r="F14" s="4">
        <f>($B$2 * C7) / C14</f>
        <v>0</v>
      </c>
    </row>
    <row r="15" spans="1:6">
      <c r="A15" t="s">
        <v>100</v>
      </c>
      <c r="B15">
        <v>39</v>
      </c>
      <c r="C15">
        <v>5.95</v>
      </c>
      <c r="D15">
        <v>2.98</v>
      </c>
      <c r="E15">
        <v>0.36</v>
      </c>
      <c r="F15" s="4">
        <f>($B$2 * C7) / C15</f>
        <v>0</v>
      </c>
    </row>
    <row r="16" spans="1:6">
      <c r="A16" t="s">
        <v>101</v>
      </c>
      <c r="B16">
        <v>55</v>
      </c>
      <c r="C16">
        <v>6.51</v>
      </c>
      <c r="D16">
        <v>3.23</v>
      </c>
      <c r="E16">
        <v>1.81</v>
      </c>
      <c r="F16" s="4">
        <f>($B$2 * C7) / C16</f>
        <v>0</v>
      </c>
    </row>
    <row r="17" spans="1:6">
      <c r="A17" t="s">
        <v>102</v>
      </c>
      <c r="B17">
        <v>64</v>
      </c>
      <c r="C17">
        <v>4.8</v>
      </c>
      <c r="D17">
        <v>3.15</v>
      </c>
      <c r="E17">
        <v>3.25</v>
      </c>
      <c r="F17" s="4">
        <f>($B$2 * C7) / C17</f>
        <v>0</v>
      </c>
    </row>
    <row r="18" spans="1:6">
      <c r="A18" t="s">
        <v>103</v>
      </c>
      <c r="B18">
        <v>56</v>
      </c>
      <c r="C18">
        <v>9.539999999999999</v>
      </c>
      <c r="D18">
        <v>1.76</v>
      </c>
      <c r="E18">
        <v>1.16</v>
      </c>
      <c r="F18" s="4">
        <f>($B$2 * C7) / C18</f>
        <v>0</v>
      </c>
    </row>
    <row r="19" spans="1:6">
      <c r="A19" t="s">
        <v>104</v>
      </c>
      <c r="B19">
        <v>335</v>
      </c>
      <c r="C19">
        <v>1.94</v>
      </c>
      <c r="D19">
        <v>23.7</v>
      </c>
      <c r="E19">
        <v>25.9</v>
      </c>
      <c r="F19" s="4">
        <f>($B$2 * C7) / C19</f>
        <v>0</v>
      </c>
    </row>
    <row r="20" spans="1:6">
      <c r="A20" t="s">
        <v>105</v>
      </c>
      <c r="B20">
        <v>264.2731279999999</v>
      </c>
      <c r="C20">
        <v>3.240313333333333</v>
      </c>
      <c r="D20">
        <v>17.41102</v>
      </c>
      <c r="E20">
        <v>20.18066666666667</v>
      </c>
      <c r="F20" s="4">
        <f>($B$2 * C7) / C20</f>
        <v>0</v>
      </c>
    </row>
    <row r="21" spans="1:6">
      <c r="A21" t="s">
        <v>106</v>
      </c>
      <c r="B21">
        <v>329.8707184208871</v>
      </c>
      <c r="C21">
        <v>3.049332927068074</v>
      </c>
      <c r="D21">
        <v>22.64900040626526</v>
      </c>
      <c r="E21">
        <v>25.183</v>
      </c>
      <c r="F21" s="4">
        <f>($B$2 * C7) / C21</f>
        <v>0</v>
      </c>
    </row>
    <row r="22" spans="1:6">
      <c r="A22" t="s">
        <v>107</v>
      </c>
      <c r="B22">
        <v>346</v>
      </c>
      <c r="C22">
        <v>0.2</v>
      </c>
      <c r="D22">
        <v>24.2</v>
      </c>
      <c r="E22">
        <v>27.6</v>
      </c>
      <c r="F22" s="4">
        <f>($B$2 * C7) / C22</f>
        <v>0</v>
      </c>
    </row>
    <row r="23" spans="1:6">
      <c r="A23" t="s">
        <v>108</v>
      </c>
      <c r="B23">
        <v>90</v>
      </c>
      <c r="C23">
        <v>2.6</v>
      </c>
      <c r="D23">
        <v>11.6</v>
      </c>
      <c r="E23">
        <v>3.600000000000001</v>
      </c>
      <c r="F23" s="4">
        <f>($B$2 * C7) / C23</f>
        <v>0</v>
      </c>
    </row>
    <row r="24" spans="1:6">
      <c r="A24" t="s">
        <v>109</v>
      </c>
      <c r="B24">
        <v>256.5781486666667</v>
      </c>
      <c r="C24">
        <v>2.432453333333334</v>
      </c>
      <c r="D24">
        <v>9.629546666666666</v>
      </c>
      <c r="E24">
        <v>23.441</v>
      </c>
      <c r="F24" s="4">
        <f>($B$2 * C7) / C24</f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pans="1:6">
      <c r="A1" s="1" t="s">
        <v>122</v>
      </c>
    </row>
    <row r="2" spans="1:6">
      <c r="A2" s="1" t="s">
        <v>25</v>
      </c>
      <c r="B2" s="2">
        <v>100</v>
      </c>
    </row>
    <row r="3" spans="1:6">
      <c r="A3" s="1" t="s">
        <v>26</v>
      </c>
    </row>
    <row r="4" spans="1:6">
      <c r="A4" s="3" t="s">
        <v>27</v>
      </c>
      <c r="B4" t="s">
        <v>28</v>
      </c>
    </row>
    <row r="6" spans="1:6">
      <c r="A6" t="s">
        <v>9</v>
      </c>
      <c r="B6" t="s">
        <v>10</v>
      </c>
      <c r="C6" t="s">
        <v>11</v>
      </c>
      <c r="D6" t="s">
        <v>12</v>
      </c>
      <c r="E6" t="s">
        <v>13</v>
      </c>
      <c r="F6" s="1" t="s">
        <v>29</v>
      </c>
    </row>
    <row r="7" spans="1:6">
      <c r="A7" t="s">
        <v>111</v>
      </c>
      <c r="B7">
        <v>58.04536887282133</v>
      </c>
      <c r="C7">
        <v>6.208416666666666</v>
      </c>
      <c r="D7">
        <v>0.7979166666666667</v>
      </c>
      <c r="E7">
        <v>3.944333333333333</v>
      </c>
      <c r="F7" s="4">
        <f>($B$2 * C7) / C7</f>
        <v>0</v>
      </c>
    </row>
    <row r="8" spans="1:6">
      <c r="A8" t="s">
        <v>112</v>
      </c>
      <c r="B8">
        <v>110.29759</v>
      </c>
      <c r="C8">
        <v>21.45516666666667</v>
      </c>
      <c r="D8">
        <v>0.7208333333333334</v>
      </c>
      <c r="E8">
        <v>3.660333333333333</v>
      </c>
      <c r="F8" s="4">
        <f>($B$2 * C7) / C8</f>
        <v>0</v>
      </c>
    </row>
    <row r="9" spans="1:6">
      <c r="A9" t="s">
        <v>113</v>
      </c>
      <c r="B9">
        <v>539.5866666666667</v>
      </c>
      <c r="C9">
        <v>59.57666666666668</v>
      </c>
      <c r="D9">
        <v>7.22</v>
      </c>
      <c r="E9">
        <v>30.26666666666667</v>
      </c>
      <c r="F9" s="4">
        <f>($B$2 * C7) / C9</f>
        <v>0</v>
      </c>
    </row>
    <row r="10" spans="1:6">
      <c r="A10" t="s">
        <v>114</v>
      </c>
      <c r="B10">
        <v>474.9177699732738</v>
      </c>
      <c r="C10">
        <v>62.42288990116119</v>
      </c>
      <c r="D10">
        <v>4.862443432172139</v>
      </c>
      <c r="E10">
        <v>29.85666666666667</v>
      </c>
      <c r="F10" s="4">
        <f>($B$2 * C7) / C10</f>
        <v>0</v>
      </c>
    </row>
    <row r="11" spans="1:6">
      <c r="A11" t="s">
        <v>115</v>
      </c>
      <c r="B11">
        <v>306.3101302310587</v>
      </c>
      <c r="C11">
        <v>59.49337323506673</v>
      </c>
      <c r="D11">
        <v>5.478293431599935</v>
      </c>
      <c r="E11">
        <v>5.992999999999999</v>
      </c>
      <c r="F11" s="4">
        <f>($B$2 * C7) / C11</f>
        <v>0</v>
      </c>
    </row>
    <row r="12" spans="1:6">
      <c r="A12" t="s">
        <v>116</v>
      </c>
      <c r="B12">
        <v>312.5726</v>
      </c>
      <c r="C12">
        <v>56.99666666666666</v>
      </c>
      <c r="D12">
        <v>7.67</v>
      </c>
      <c r="E12">
        <v>6.74</v>
      </c>
      <c r="F12" s="4">
        <f>($B$2 * C7) / C12</f>
        <v>0</v>
      </c>
    </row>
    <row r="13" spans="1:6">
      <c r="A13" t="s">
        <v>117</v>
      </c>
      <c r="B13">
        <v>385.7142857142857</v>
      </c>
      <c r="C13">
        <v>92.85714285714286</v>
      </c>
      <c r="D13">
        <v>0</v>
      </c>
      <c r="E13">
        <v>0</v>
      </c>
      <c r="F13" s="4">
        <f>($B$2 * C7) / C13</f>
        <v>0</v>
      </c>
    </row>
    <row r="14" spans="1:6">
      <c r="A14" t="s">
        <v>118</v>
      </c>
      <c r="B14">
        <v>370</v>
      </c>
      <c r="C14">
        <v>85</v>
      </c>
      <c r="D14">
        <v>3.5</v>
      </c>
      <c r="E14">
        <v>0</v>
      </c>
      <c r="F14" s="4">
        <f>($B$2 * C7) / C14</f>
        <v>0</v>
      </c>
    </row>
    <row r="15" spans="1:6">
      <c r="A15" t="s">
        <v>119</v>
      </c>
      <c r="B15">
        <v>209</v>
      </c>
      <c r="C15">
        <v>25.7</v>
      </c>
      <c r="D15">
        <v>3.5</v>
      </c>
      <c r="E15">
        <v>10.1</v>
      </c>
      <c r="F15" s="4">
        <f>($B$2 * C7) / C15</f>
        <v>0</v>
      </c>
    </row>
    <row r="16" spans="1:6">
      <c r="A16" t="s">
        <v>120</v>
      </c>
      <c r="B16">
        <v>363.3333333333333</v>
      </c>
      <c r="C16">
        <v>86.66666666666667</v>
      </c>
      <c r="D16">
        <v>4.333333333333334</v>
      </c>
      <c r="E16">
        <v>0</v>
      </c>
      <c r="F16" s="4">
        <f>($B$2 * C7) / C16</f>
        <v>0</v>
      </c>
    </row>
    <row r="17" spans="1:6">
      <c r="A17" t="s">
        <v>121</v>
      </c>
      <c r="B17">
        <v>385</v>
      </c>
      <c r="C17">
        <v>90</v>
      </c>
      <c r="D17">
        <v>0</v>
      </c>
      <c r="E17">
        <v>0</v>
      </c>
      <c r="F17" s="4">
        <f>($B$2 * C7) / C17</f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pans="1:6">
      <c r="A1" s="1" t="s">
        <v>136</v>
      </c>
    </row>
    <row r="2" spans="1:6">
      <c r="A2" s="1" t="s">
        <v>25</v>
      </c>
      <c r="B2" s="2">
        <v>100</v>
      </c>
    </row>
    <row r="3" spans="1:6">
      <c r="A3" s="1" t="s">
        <v>26</v>
      </c>
    </row>
    <row r="4" spans="1:6">
      <c r="A4" s="3" t="s">
        <v>27</v>
      </c>
      <c r="B4" t="s">
        <v>28</v>
      </c>
    </row>
    <row r="6" spans="1:6">
      <c r="A6" t="s">
        <v>9</v>
      </c>
      <c r="B6" t="s">
        <v>10</v>
      </c>
      <c r="C6" t="s">
        <v>11</v>
      </c>
      <c r="D6" t="s">
        <v>12</v>
      </c>
      <c r="E6" t="s">
        <v>13</v>
      </c>
      <c r="F6" s="1" t="s">
        <v>29</v>
      </c>
    </row>
    <row r="7" spans="1:6">
      <c r="A7" t="s">
        <v>123</v>
      </c>
      <c r="B7">
        <v>580.7469545560705</v>
      </c>
      <c r="C7">
        <v>29.54724</v>
      </c>
      <c r="D7">
        <v>18.55475938510895</v>
      </c>
      <c r="E7">
        <v>47.32433333333334</v>
      </c>
      <c r="F7" s="4">
        <f>($B$2 * C7) / C7</f>
        <v>0</v>
      </c>
    </row>
    <row r="8" spans="1:6">
      <c r="A8" t="s">
        <v>124</v>
      </c>
      <c r="B8">
        <v>605.7810929170192</v>
      </c>
      <c r="C8">
        <v>18.70248650964101</v>
      </c>
      <c r="D8">
        <v>22.47518015702565</v>
      </c>
      <c r="E8">
        <v>53.96333333333334</v>
      </c>
      <c r="F8" s="4">
        <f>($B$2 * C7) / C8</f>
        <v>0</v>
      </c>
    </row>
    <row r="9" spans="1:6">
      <c r="A9" t="s">
        <v>125</v>
      </c>
      <c r="B9">
        <v>673</v>
      </c>
      <c r="C9">
        <v>8.199999999999999</v>
      </c>
      <c r="D9">
        <v>15</v>
      </c>
      <c r="E9">
        <v>62.4</v>
      </c>
      <c r="F9" s="4">
        <f>($B$2 * C7) / C9</f>
        <v>0</v>
      </c>
    </row>
    <row r="10" spans="1:6">
      <c r="A10" t="s">
        <v>126</v>
      </c>
      <c r="B10">
        <v>570.167626501619</v>
      </c>
      <c r="C10">
        <v>29.13496600055695</v>
      </c>
      <c r="D10">
        <v>18.50936733277639</v>
      </c>
      <c r="E10">
        <v>46.27966666666666</v>
      </c>
      <c r="F10" s="4">
        <f>($B$2 * C7) / C10</f>
        <v>0</v>
      </c>
    </row>
    <row r="11" spans="1:6">
      <c r="A11" t="s">
        <v>127</v>
      </c>
      <c r="B11">
        <v>642.9630716810693</v>
      </c>
      <c r="C11">
        <v>15.07865989844004</v>
      </c>
      <c r="D11">
        <v>14.53634010155996</v>
      </c>
      <c r="E11">
        <v>63.459</v>
      </c>
      <c r="F11" s="4">
        <f>($B$2 * C7) / C11</f>
        <v>0</v>
      </c>
    </row>
    <row r="12" spans="1:6">
      <c r="A12" t="s">
        <v>128</v>
      </c>
      <c r="B12">
        <v>459.9999999999999</v>
      </c>
      <c r="C12">
        <v>38</v>
      </c>
      <c r="D12">
        <v>23.33333333333333</v>
      </c>
      <c r="E12">
        <v>26.66666666666667</v>
      </c>
      <c r="F12" s="4">
        <f>($B$2 * C7) / C12</f>
        <v>0</v>
      </c>
    </row>
    <row r="13" spans="1:6">
      <c r="A13" t="s">
        <v>129</v>
      </c>
      <c r="B13">
        <v>620.0600197905668</v>
      </c>
      <c r="C13">
        <v>18.36386616388957</v>
      </c>
      <c r="D13">
        <v>13.9708005027771</v>
      </c>
      <c r="E13">
        <v>59.35966666666667</v>
      </c>
      <c r="F13" s="4">
        <f>($B$2 * C7) / C13</f>
        <v>0</v>
      </c>
    </row>
    <row r="14" spans="1:6">
      <c r="A14" t="s">
        <v>130</v>
      </c>
      <c r="B14">
        <v>606.6666666666666</v>
      </c>
      <c r="C14">
        <v>21.33333333333334</v>
      </c>
      <c r="D14">
        <v>28.66666666666667</v>
      </c>
      <c r="E14">
        <v>49.33333333333334</v>
      </c>
      <c r="F14" s="4">
        <f>($B$2 * C7) / C14</f>
        <v>0</v>
      </c>
    </row>
    <row r="15" spans="1:6">
      <c r="A15" t="s">
        <v>131</v>
      </c>
      <c r="B15">
        <v>576</v>
      </c>
      <c r="C15">
        <v>16.6</v>
      </c>
      <c r="D15">
        <v>20.2</v>
      </c>
      <c r="E15">
        <v>45.3</v>
      </c>
      <c r="F15" s="4">
        <f>($B$2 * C7) / C15</f>
        <v>0</v>
      </c>
    </row>
    <row r="16" spans="1:6">
      <c r="A16" t="s">
        <v>132</v>
      </c>
      <c r="B16">
        <v>426</v>
      </c>
      <c r="C16">
        <v>35.4</v>
      </c>
      <c r="D16">
        <v>18.6</v>
      </c>
      <c r="E16">
        <v>19.4</v>
      </c>
      <c r="F16" s="4">
        <f>($B$2 * C7) / C16</f>
        <v>0</v>
      </c>
    </row>
    <row r="17" spans="1:6">
      <c r="A17" t="s">
        <v>133</v>
      </c>
      <c r="B17">
        <v>442</v>
      </c>
      <c r="C17">
        <v>7.72</v>
      </c>
      <c r="D17">
        <v>16.5</v>
      </c>
      <c r="E17">
        <v>30.7</v>
      </c>
      <c r="F17" s="4">
        <f>($B$2 * C7) / C17</f>
        <v>0</v>
      </c>
    </row>
    <row r="18" spans="1:6">
      <c r="A18" t="s">
        <v>134</v>
      </c>
      <c r="B18">
        <v>639</v>
      </c>
      <c r="C18">
        <v>9.09</v>
      </c>
      <c r="D18">
        <v>17.2</v>
      </c>
      <c r="E18">
        <v>56.8</v>
      </c>
      <c r="F18" s="4">
        <f>($B$2 * C7) / C18</f>
        <v>0</v>
      </c>
    </row>
    <row r="19" spans="1:6">
      <c r="A19" t="s">
        <v>135</v>
      </c>
      <c r="B19">
        <v>495.0961138436508</v>
      </c>
      <c r="C19">
        <v>43.31219949315389</v>
      </c>
      <c r="D19">
        <v>14.08386717351278</v>
      </c>
      <c r="E19">
        <v>32.25293333333334</v>
      </c>
      <c r="F19" s="4">
        <f>($B$2 * C7) / C19</f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143</v>
      </c>
    </row>
    <row r="2" spans="1:6">
      <c r="A2" s="1" t="s">
        <v>25</v>
      </c>
      <c r="B2" s="2">
        <v>100</v>
      </c>
    </row>
    <row r="3" spans="1:6">
      <c r="A3" s="1" t="s">
        <v>26</v>
      </c>
    </row>
    <row r="4" spans="1:6">
      <c r="A4" s="3" t="s">
        <v>27</v>
      </c>
      <c r="B4" t="s">
        <v>28</v>
      </c>
    </row>
    <row r="6" spans="1:6">
      <c r="A6" t="s">
        <v>9</v>
      </c>
      <c r="B6" t="s">
        <v>10</v>
      </c>
      <c r="C6" t="s">
        <v>11</v>
      </c>
      <c r="D6" t="s">
        <v>12</v>
      </c>
      <c r="E6" t="s">
        <v>13</v>
      </c>
      <c r="F6" s="1" t="s">
        <v>29</v>
      </c>
    </row>
    <row r="7" spans="1:6">
      <c r="A7" t="s">
        <v>137</v>
      </c>
      <c r="B7">
        <v>884</v>
      </c>
      <c r="E7">
        <v>100</v>
      </c>
      <c r="F7" s="4">
        <f>($B$2 * C7) / C7</f>
        <v>0</v>
      </c>
    </row>
    <row r="8" spans="1:6">
      <c r="A8" t="s">
        <v>138</v>
      </c>
      <c r="B8">
        <v>757.5404607259967</v>
      </c>
      <c r="C8">
        <v>0</v>
      </c>
      <c r="D8">
        <v>0.3955600070953369</v>
      </c>
      <c r="E8">
        <v>86.03933333333333</v>
      </c>
      <c r="F8" s="4">
        <f>($B$2 * C7) / C8</f>
        <v>0</v>
      </c>
    </row>
    <row r="9" spans="1:6">
      <c r="A9" t="s">
        <v>139</v>
      </c>
      <c r="B9">
        <v>900</v>
      </c>
      <c r="C9">
        <v>0</v>
      </c>
      <c r="D9">
        <v>0</v>
      </c>
      <c r="E9">
        <v>100</v>
      </c>
      <c r="F9" s="4">
        <f>($B$2 * C7) / C9</f>
        <v>0</v>
      </c>
    </row>
    <row r="10" spans="1:6">
      <c r="A10" t="s">
        <v>140</v>
      </c>
      <c r="B10">
        <v>900</v>
      </c>
      <c r="C10">
        <v>0</v>
      </c>
      <c r="D10">
        <v>0</v>
      </c>
      <c r="E10">
        <v>100</v>
      </c>
      <c r="F10" s="4">
        <f>($B$2 * C7) / C10</f>
        <v>0</v>
      </c>
    </row>
    <row r="11" spans="1:6">
      <c r="A11" t="s">
        <v>141</v>
      </c>
      <c r="B11">
        <v>899</v>
      </c>
      <c r="C11">
        <v>0</v>
      </c>
      <c r="D11">
        <v>0.11</v>
      </c>
      <c r="E11">
        <v>99.8</v>
      </c>
      <c r="F11" s="4">
        <f>($B$2 * C7) / C11</f>
        <v>0</v>
      </c>
    </row>
    <row r="12" spans="1:6">
      <c r="A12" t="s">
        <v>142</v>
      </c>
      <c r="B12">
        <v>884</v>
      </c>
      <c r="E12">
        <v>100</v>
      </c>
      <c r="F12" s="4">
        <f>($B$2 * C7) / C12</f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s="1" t="s">
        <v>153</v>
      </c>
    </row>
    <row r="2" spans="1:6">
      <c r="A2" s="1" t="s">
        <v>25</v>
      </c>
      <c r="B2" s="2">
        <v>100</v>
      </c>
    </row>
    <row r="3" spans="1:6">
      <c r="A3" s="1" t="s">
        <v>26</v>
      </c>
    </row>
    <row r="4" spans="1:6">
      <c r="A4" s="3" t="s">
        <v>27</v>
      </c>
      <c r="B4" t="s">
        <v>28</v>
      </c>
    </row>
    <row r="6" spans="1:6">
      <c r="A6" t="s">
        <v>9</v>
      </c>
      <c r="B6" t="s">
        <v>10</v>
      </c>
      <c r="C6" t="s">
        <v>11</v>
      </c>
      <c r="D6" t="s">
        <v>12</v>
      </c>
      <c r="E6" t="s">
        <v>13</v>
      </c>
      <c r="F6" s="1" t="s">
        <v>29</v>
      </c>
    </row>
    <row r="7" spans="1:6">
      <c r="A7" t="s">
        <v>144</v>
      </c>
      <c r="B7">
        <v>113.4594816666667</v>
      </c>
      <c r="C7">
        <v>25.28141666666667</v>
      </c>
      <c r="D7">
        <v>2.15625</v>
      </c>
      <c r="E7">
        <v>0.6796666666666665</v>
      </c>
      <c r="F7" s="4">
        <f>($B$2 * C7) / C7</f>
        <v>0</v>
      </c>
    </row>
    <row r="8" spans="1:6">
      <c r="A8" t="s">
        <v>145</v>
      </c>
      <c r="B8">
        <v>292.01349</v>
      </c>
      <c r="C8">
        <v>56.397</v>
      </c>
      <c r="D8">
        <v>8.303000000000001</v>
      </c>
      <c r="E8">
        <v>3.11</v>
      </c>
      <c r="F8" s="4">
        <f>($B$2 * C7) / C8</f>
        <v>0</v>
      </c>
    </row>
    <row r="9" spans="1:6">
      <c r="A9" t="s">
        <v>146</v>
      </c>
      <c r="B9">
        <v>253.1936183333333</v>
      </c>
      <c r="C9">
        <v>49.9415</v>
      </c>
      <c r="D9">
        <v>9.425166666666666</v>
      </c>
      <c r="E9">
        <v>3.653333333333334</v>
      </c>
      <c r="F9" s="4">
        <f>($B$2 * C7) / C9</f>
        <v>0</v>
      </c>
    </row>
    <row r="10" spans="1:6">
      <c r="A10" t="s">
        <v>147</v>
      </c>
      <c r="B10">
        <v>252.99403</v>
      </c>
      <c r="C10">
        <v>44.11899999999999</v>
      </c>
      <c r="D10">
        <v>11.95099960009257</v>
      </c>
      <c r="E10">
        <v>2.726666666666667</v>
      </c>
      <c r="F10" s="4">
        <f>($B$2 * C7) / C10</f>
        <v>0</v>
      </c>
    </row>
    <row r="11" spans="1:6">
      <c r="A11" t="s">
        <v>148</v>
      </c>
      <c r="B11">
        <v>299.8101504347826</v>
      </c>
      <c r="C11">
        <v>58.64643478260869</v>
      </c>
      <c r="D11">
        <v>7.953565217391304</v>
      </c>
      <c r="E11">
        <v>3.103333333333333</v>
      </c>
      <c r="F11" s="4">
        <f>($B$2 * C7) / C11</f>
        <v>0</v>
      </c>
    </row>
    <row r="12" spans="1:6">
      <c r="A12" t="s">
        <v>149</v>
      </c>
      <c r="B12">
        <v>227.5</v>
      </c>
      <c r="C12">
        <v>45</v>
      </c>
      <c r="D12">
        <v>6.5</v>
      </c>
      <c r="E12">
        <v>2.5</v>
      </c>
      <c r="F12" s="4">
        <f>($B$2 * C7) / C12</f>
        <v>0</v>
      </c>
    </row>
    <row r="13" spans="1:6">
      <c r="A13" t="s">
        <v>150</v>
      </c>
      <c r="B13">
        <v>513.86</v>
      </c>
      <c r="C13">
        <v>57.53</v>
      </c>
      <c r="D13">
        <v>8.859999999999999</v>
      </c>
      <c r="E13">
        <v>29.32</v>
      </c>
      <c r="F13" s="4">
        <f>($B$2 * C7) / C13</f>
        <v>0</v>
      </c>
    </row>
    <row r="14" spans="1:6">
      <c r="A14" t="s">
        <v>151</v>
      </c>
      <c r="B14">
        <v>288</v>
      </c>
      <c r="C14">
        <v>71.7</v>
      </c>
      <c r="D14">
        <v>0.36</v>
      </c>
      <c r="E14">
        <v>0</v>
      </c>
      <c r="F14" s="4">
        <f>($B$2 * C7) / C14</f>
        <v>0</v>
      </c>
    </row>
    <row r="15" spans="1:6">
      <c r="A15" t="s">
        <v>152</v>
      </c>
      <c r="B15">
        <v>395</v>
      </c>
      <c r="C15">
        <v>72.3</v>
      </c>
      <c r="D15">
        <v>11.5</v>
      </c>
      <c r="E15">
        <v>6.39</v>
      </c>
      <c r="F15" s="4">
        <f>($B$2 * C7) / C15</f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FormatPr defaultRowHeight="15"/>
  <sheetData>
    <row r="1" spans="1:6">
      <c r="A1" s="1" t="s">
        <v>175</v>
      </c>
    </row>
    <row r="2" spans="1:6">
      <c r="A2" s="1" t="s">
        <v>25</v>
      </c>
      <c r="B2" s="2">
        <v>100</v>
      </c>
    </row>
    <row r="3" spans="1:6">
      <c r="A3" s="1" t="s">
        <v>26</v>
      </c>
    </row>
    <row r="4" spans="1:6">
      <c r="A4" s="3" t="s">
        <v>27</v>
      </c>
      <c r="B4" t="s">
        <v>28</v>
      </c>
    </row>
    <row r="6" spans="1:6">
      <c r="A6" t="s">
        <v>9</v>
      </c>
      <c r="B6" t="s">
        <v>10</v>
      </c>
      <c r="C6" t="s">
        <v>11</v>
      </c>
      <c r="D6" t="s">
        <v>12</v>
      </c>
      <c r="E6" t="s">
        <v>13</v>
      </c>
      <c r="F6" s="1" t="s">
        <v>29</v>
      </c>
    </row>
    <row r="7" spans="1:6">
      <c r="A7" t="s">
        <v>154</v>
      </c>
      <c r="B7">
        <v>366</v>
      </c>
      <c r="C7">
        <v>80.09999999999999</v>
      </c>
      <c r="D7">
        <v>5.9</v>
      </c>
      <c r="E7">
        <v>1.4</v>
      </c>
      <c r="F7" s="4">
        <f>($B$2 * C7) / C7</f>
        <v>0</v>
      </c>
    </row>
    <row r="8" spans="1:6">
      <c r="A8" t="s">
        <v>154</v>
      </c>
      <c r="B8">
        <v>366</v>
      </c>
      <c r="C8">
        <v>80.09999999999999</v>
      </c>
      <c r="D8">
        <v>5.9</v>
      </c>
      <c r="E8">
        <v>1.4</v>
      </c>
      <c r="F8" s="4">
        <f>($B$2 * C7) / C8</f>
        <v>0</v>
      </c>
    </row>
    <row r="9" spans="1:6">
      <c r="A9" t="s">
        <v>155</v>
      </c>
      <c r="B9">
        <v>352</v>
      </c>
      <c r="C9">
        <v>56.99999999999999</v>
      </c>
      <c r="D9">
        <v>14.5</v>
      </c>
      <c r="E9">
        <v>7.9</v>
      </c>
      <c r="F9" s="4">
        <f>($B$2 * C7) / C9</f>
        <v>0</v>
      </c>
    </row>
    <row r="10" spans="1:6">
      <c r="A10" t="s">
        <v>156</v>
      </c>
      <c r="B10">
        <v>246</v>
      </c>
      <c r="C10">
        <v>66.2</v>
      </c>
      <c r="D10">
        <v>17.3</v>
      </c>
      <c r="E10">
        <v>7.03</v>
      </c>
      <c r="F10" s="4">
        <f>($B$2 * C7) / C10</f>
        <v>0</v>
      </c>
    </row>
    <row r="11" spans="1:6">
      <c r="A11" t="s">
        <v>157</v>
      </c>
      <c r="B11">
        <v>365</v>
      </c>
      <c r="C11">
        <v>76.5</v>
      </c>
      <c r="D11">
        <v>6</v>
      </c>
      <c r="E11">
        <v>2</v>
      </c>
      <c r="F11" s="4">
        <f>($B$2 * C7) / C11</f>
        <v>0</v>
      </c>
    </row>
    <row r="12" spans="1:6">
      <c r="A12" t="s">
        <v>58</v>
      </c>
      <c r="B12">
        <v>367</v>
      </c>
      <c r="C12">
        <v>57.49999999999999</v>
      </c>
      <c r="D12">
        <v>9</v>
      </c>
      <c r="E12">
        <v>6.7</v>
      </c>
      <c r="F12" s="4">
        <f>($B$2 * C7) / C12</f>
        <v>0</v>
      </c>
    </row>
    <row r="13" spans="1:6">
      <c r="A13" t="s">
        <v>158</v>
      </c>
      <c r="B13">
        <v>310</v>
      </c>
      <c r="C13">
        <v>52</v>
      </c>
      <c r="D13">
        <v>11</v>
      </c>
      <c r="E13">
        <v>5</v>
      </c>
      <c r="F13" s="4">
        <f>($B$2 * C7) / C13</f>
        <v>0</v>
      </c>
    </row>
    <row r="14" spans="1:6">
      <c r="A14" t="s">
        <v>159</v>
      </c>
      <c r="B14">
        <v>347</v>
      </c>
      <c r="C14">
        <v>85</v>
      </c>
      <c r="D14">
        <v>0.18</v>
      </c>
      <c r="E14">
        <v>0.2</v>
      </c>
      <c r="F14" s="4">
        <f>($B$2 * C7) / C14</f>
        <v>0</v>
      </c>
    </row>
    <row r="15" spans="1:6">
      <c r="A15" t="s">
        <v>160</v>
      </c>
      <c r="B15">
        <v>250</v>
      </c>
      <c r="C15">
        <v>48</v>
      </c>
      <c r="D15">
        <v>7.8</v>
      </c>
      <c r="E15">
        <v>3</v>
      </c>
      <c r="F15" s="4">
        <f>($B$2 * C7) / C15</f>
        <v>0</v>
      </c>
    </row>
    <row r="16" spans="1:6">
      <c r="A16" t="s">
        <v>161</v>
      </c>
      <c r="B16">
        <v>289</v>
      </c>
      <c r="C16">
        <v>46</v>
      </c>
      <c r="D16">
        <v>7.8</v>
      </c>
      <c r="E16">
        <v>8.199999999999999</v>
      </c>
      <c r="F16" s="4">
        <f>($B$2 * C7) / C16</f>
        <v>0</v>
      </c>
    </row>
    <row r="17" spans="1:6">
      <c r="A17" t="s">
        <v>162</v>
      </c>
      <c r="B17">
        <v>275</v>
      </c>
      <c r="C17">
        <v>56.00000000000001</v>
      </c>
      <c r="D17">
        <v>9</v>
      </c>
      <c r="E17">
        <v>1.2</v>
      </c>
      <c r="F17" s="4">
        <f>($B$2 * C7) / C17</f>
        <v>0</v>
      </c>
    </row>
    <row r="18" spans="1:6">
      <c r="A18" t="s">
        <v>163</v>
      </c>
      <c r="B18">
        <v>128</v>
      </c>
      <c r="C18">
        <v>28</v>
      </c>
      <c r="D18">
        <v>2.7</v>
      </c>
      <c r="E18">
        <v>0.3</v>
      </c>
      <c r="F18" s="4">
        <f>($B$2 * C7) / C18</f>
        <v>0</v>
      </c>
    </row>
    <row r="19" spans="1:6">
      <c r="A19" t="s">
        <v>164</v>
      </c>
      <c r="B19">
        <v>100</v>
      </c>
      <c r="C19">
        <v>12</v>
      </c>
      <c r="D19">
        <v>1.2</v>
      </c>
      <c r="E19">
        <v>0</v>
      </c>
      <c r="F19" s="4">
        <f>($B$2 * C7) / C19</f>
        <v>0</v>
      </c>
    </row>
    <row r="20" spans="1:6">
      <c r="A20" t="s">
        <v>165</v>
      </c>
      <c r="B20">
        <v>153</v>
      </c>
      <c r="C20">
        <v>33</v>
      </c>
      <c r="D20">
        <v>4</v>
      </c>
      <c r="E20">
        <v>0.5</v>
      </c>
      <c r="F20" s="4">
        <f>($B$2 * C7) / C20</f>
        <v>0</v>
      </c>
    </row>
    <row r="21" spans="1:6">
      <c r="A21" t="s">
        <v>166</v>
      </c>
      <c r="B21">
        <v>158</v>
      </c>
      <c r="C21">
        <v>30</v>
      </c>
      <c r="D21">
        <v>5.8</v>
      </c>
      <c r="E21">
        <v>0.9000000000000001</v>
      </c>
      <c r="F21" s="4">
        <f>($B$2 * C7) / C21</f>
        <v>0</v>
      </c>
    </row>
    <row r="22" spans="1:6">
      <c r="A22" t="s">
        <v>167</v>
      </c>
      <c r="B22">
        <v>130</v>
      </c>
      <c r="C22">
        <v>29</v>
      </c>
      <c r="D22">
        <v>0.6</v>
      </c>
      <c r="E22">
        <v>0.5</v>
      </c>
      <c r="F22" s="4">
        <f>($B$2 * C7) / C22</f>
        <v>0</v>
      </c>
    </row>
    <row r="23" spans="1:6">
      <c r="A23" t="s">
        <v>168</v>
      </c>
      <c r="B23">
        <v>274</v>
      </c>
      <c r="C23">
        <v>44</v>
      </c>
      <c r="D23">
        <v>12</v>
      </c>
      <c r="E23">
        <v>5</v>
      </c>
      <c r="F23" s="4">
        <f>($B$2 * C7) / C23</f>
        <v>0</v>
      </c>
    </row>
    <row r="24" spans="1:6">
      <c r="A24" t="s">
        <v>169</v>
      </c>
      <c r="B24">
        <v>80</v>
      </c>
      <c r="C24">
        <v>18.9</v>
      </c>
      <c r="D24">
        <v>0.9000000000000001</v>
      </c>
      <c r="E24">
        <v>0.2</v>
      </c>
      <c r="F24" s="4">
        <f>($B$2 * C7) / C24</f>
        <v>0</v>
      </c>
    </row>
    <row r="25" spans="1:6">
      <c r="A25" t="s">
        <v>170</v>
      </c>
      <c r="B25">
        <v>48</v>
      </c>
      <c r="C25">
        <v>10.7</v>
      </c>
      <c r="F25" s="4">
        <f>($B$2 * C7) / C25</f>
        <v>0</v>
      </c>
    </row>
    <row r="26" spans="1:6">
      <c r="A26" t="s">
        <v>171</v>
      </c>
      <c r="B26">
        <v>448.0000000000001</v>
      </c>
      <c r="C26">
        <v>70.3</v>
      </c>
      <c r="D26">
        <v>9.9</v>
      </c>
      <c r="E26">
        <v>15.8</v>
      </c>
      <c r="F26" s="4">
        <f>($B$2 * C7) / C26</f>
        <v>0</v>
      </c>
    </row>
    <row r="27" spans="1:6">
      <c r="A27" t="s">
        <v>172</v>
      </c>
      <c r="B27">
        <v>164</v>
      </c>
      <c r="C27">
        <v>32.5</v>
      </c>
      <c r="D27">
        <v>5.8</v>
      </c>
      <c r="E27">
        <v>1.2</v>
      </c>
      <c r="F27" s="4">
        <f>($B$2 * C7) / C27</f>
        <v>0</v>
      </c>
    </row>
    <row r="28" spans="1:6">
      <c r="A28" t="s">
        <v>173</v>
      </c>
      <c r="B28">
        <v>171</v>
      </c>
      <c r="C28">
        <v>30.7</v>
      </c>
      <c r="D28">
        <v>2.6</v>
      </c>
      <c r="E28">
        <v>4.8</v>
      </c>
      <c r="F28" s="4">
        <f>($B$2 * C7) / C28</f>
        <v>0</v>
      </c>
    </row>
    <row r="29" spans="1:6">
      <c r="A29" t="s">
        <v>174</v>
      </c>
      <c r="B29">
        <v>113</v>
      </c>
      <c r="C29">
        <v>25.3</v>
      </c>
      <c r="D29">
        <v>2.2</v>
      </c>
      <c r="E29">
        <v>0.7</v>
      </c>
      <c r="F29" s="4">
        <f>($B$2 * C7) / C29</f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185</v>
      </c>
    </row>
    <row r="2" spans="1:6">
      <c r="A2" s="1" t="s">
        <v>25</v>
      </c>
      <c r="B2" s="2">
        <v>100</v>
      </c>
    </row>
    <row r="3" spans="1:6">
      <c r="A3" s="1" t="s">
        <v>26</v>
      </c>
    </row>
    <row r="4" spans="1:6">
      <c r="A4" s="3" t="s">
        <v>27</v>
      </c>
      <c r="B4" t="s">
        <v>28</v>
      </c>
    </row>
    <row r="6" spans="1:6">
      <c r="A6" t="s">
        <v>9</v>
      </c>
      <c r="B6" t="s">
        <v>10</v>
      </c>
      <c r="C6" t="s">
        <v>11</v>
      </c>
      <c r="D6" t="s">
        <v>12</v>
      </c>
      <c r="E6" t="s">
        <v>13</v>
      </c>
      <c r="F6" s="1" t="s">
        <v>29</v>
      </c>
    </row>
    <row r="7" spans="1:6">
      <c r="A7" t="s">
        <v>176</v>
      </c>
      <c r="B7">
        <v>541</v>
      </c>
      <c r="C7">
        <v>1.42</v>
      </c>
      <c r="D7">
        <v>37.04</v>
      </c>
      <c r="E7">
        <v>41.78</v>
      </c>
      <c r="F7" s="4">
        <f>($B$2 * C7) / C7</f>
        <v>0</v>
      </c>
    </row>
    <row r="8" spans="1:6">
      <c r="A8" t="s">
        <v>177</v>
      </c>
      <c r="B8">
        <v>324</v>
      </c>
      <c r="C8">
        <v>0</v>
      </c>
      <c r="D8">
        <v>0</v>
      </c>
      <c r="E8">
        <v>36</v>
      </c>
      <c r="F8" s="4">
        <f>($B$2 * C7) / C8</f>
        <v>0</v>
      </c>
    </row>
    <row r="9" spans="1:6">
      <c r="A9" t="s">
        <v>178</v>
      </c>
      <c r="B9">
        <v>300</v>
      </c>
      <c r="C9">
        <v>3.669999999999999</v>
      </c>
      <c r="D9">
        <v>11</v>
      </c>
      <c r="E9">
        <v>26.67</v>
      </c>
      <c r="F9" s="4">
        <f>($B$2 * C7) / C9</f>
        <v>0</v>
      </c>
    </row>
    <row r="10" spans="1:6">
      <c r="A10" t="s">
        <v>179</v>
      </c>
      <c r="B10">
        <v>196</v>
      </c>
      <c r="C10">
        <v>6.4</v>
      </c>
      <c r="D10">
        <v>24</v>
      </c>
      <c r="E10">
        <v>8.6</v>
      </c>
      <c r="F10" s="4">
        <f>($B$2 * C7) / C10</f>
        <v>0</v>
      </c>
    </row>
    <row r="11" spans="1:6">
      <c r="A11" t="s">
        <v>180</v>
      </c>
      <c r="B11">
        <v>318</v>
      </c>
      <c r="C11">
        <v>2.47</v>
      </c>
      <c r="D11">
        <v>21.6</v>
      </c>
      <c r="E11">
        <v>24.64</v>
      </c>
      <c r="F11" s="4">
        <f>($B$2 * C7) / C11</f>
        <v>0</v>
      </c>
    </row>
    <row r="12" spans="1:6">
      <c r="A12" t="s">
        <v>181</v>
      </c>
      <c r="B12">
        <v>156</v>
      </c>
      <c r="C12">
        <v>4.05</v>
      </c>
      <c r="D12">
        <v>11.32</v>
      </c>
      <c r="E12">
        <v>10.44</v>
      </c>
      <c r="F12" s="4">
        <f>($B$2 * C7) / C12</f>
        <v>0</v>
      </c>
    </row>
    <row r="13" spans="1:6">
      <c r="A13" t="s">
        <v>182</v>
      </c>
      <c r="B13">
        <v>336</v>
      </c>
      <c r="C13">
        <v>6.9</v>
      </c>
      <c r="D13">
        <v>18.96</v>
      </c>
      <c r="E13">
        <v>26.09</v>
      </c>
      <c r="F13" s="4">
        <f>($B$2 * C7) / C13</f>
        <v>0</v>
      </c>
    </row>
    <row r="14" spans="1:6">
      <c r="A14" t="s">
        <v>183</v>
      </c>
      <c r="B14">
        <v>746</v>
      </c>
      <c r="C14">
        <v>0.6</v>
      </c>
      <c r="D14">
        <v>0.6</v>
      </c>
      <c r="E14">
        <v>83</v>
      </c>
      <c r="F14" s="4">
        <f>($B$2 * C7) / C14</f>
        <v>0</v>
      </c>
    </row>
    <row r="15" spans="1:6">
      <c r="A15" t="s">
        <v>137</v>
      </c>
      <c r="B15">
        <v>884</v>
      </c>
      <c r="C15">
        <v>0</v>
      </c>
      <c r="D15">
        <v>0</v>
      </c>
      <c r="E15">
        <v>100</v>
      </c>
      <c r="F15" s="4">
        <f>($B$2 * C7) / C15</f>
        <v>0</v>
      </c>
    </row>
    <row r="16" spans="1:6">
      <c r="A16" t="s">
        <v>184</v>
      </c>
      <c r="B16">
        <v>588</v>
      </c>
      <c r="C16">
        <v>20</v>
      </c>
      <c r="D16">
        <v>25</v>
      </c>
      <c r="E16">
        <v>50</v>
      </c>
      <c r="F16" s="4">
        <f>($B$2 * C7) / C16</f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sheetData>
    <row r="1" spans="1:6">
      <c r="A1" s="1" t="s">
        <v>198</v>
      </c>
    </row>
    <row r="2" spans="1:6">
      <c r="A2" s="1" t="s">
        <v>25</v>
      </c>
      <c r="B2" s="2">
        <v>100</v>
      </c>
    </row>
    <row r="3" spans="1:6">
      <c r="A3" s="1" t="s">
        <v>26</v>
      </c>
    </row>
    <row r="4" spans="1:6">
      <c r="A4" s="3" t="s">
        <v>27</v>
      </c>
      <c r="B4" t="s">
        <v>28</v>
      </c>
    </row>
    <row r="6" spans="1:6">
      <c r="A6" t="s">
        <v>9</v>
      </c>
      <c r="B6" t="s">
        <v>10</v>
      </c>
      <c r="C6" t="s">
        <v>11</v>
      </c>
      <c r="D6" t="s">
        <v>12</v>
      </c>
      <c r="E6" t="s">
        <v>13</v>
      </c>
      <c r="F6" s="1" t="s">
        <v>29</v>
      </c>
    </row>
    <row r="7" spans="1:6">
      <c r="A7" t="s">
        <v>186</v>
      </c>
      <c r="B7">
        <v>233</v>
      </c>
      <c r="C7">
        <v>0</v>
      </c>
      <c r="D7">
        <v>29.2</v>
      </c>
      <c r="E7">
        <v>12</v>
      </c>
      <c r="F7" s="4">
        <f>($B$2 * C7) / C7</f>
        <v>0</v>
      </c>
    </row>
    <row r="8" spans="1:6">
      <c r="A8" t="s">
        <v>187</v>
      </c>
      <c r="B8">
        <v>159</v>
      </c>
      <c r="C8">
        <v>0</v>
      </c>
      <c r="D8">
        <v>32</v>
      </c>
      <c r="E8">
        <v>2.5</v>
      </c>
      <c r="F8" s="4">
        <f>($B$2 * C7) / C8</f>
        <v>0</v>
      </c>
    </row>
    <row r="9" spans="1:6">
      <c r="A9" t="s">
        <v>188</v>
      </c>
      <c r="B9">
        <v>106</v>
      </c>
      <c r="C9">
        <v>0</v>
      </c>
      <c r="D9">
        <v>17.6</v>
      </c>
      <c r="E9">
        <v>3.5</v>
      </c>
      <c r="F9" s="4">
        <f>($B$2 * C7) / C9</f>
        <v>0</v>
      </c>
    </row>
    <row r="10" spans="1:6">
      <c r="A10" t="s">
        <v>189</v>
      </c>
      <c r="B10">
        <v>94</v>
      </c>
      <c r="C10">
        <v>0</v>
      </c>
      <c r="D10">
        <v>18</v>
      </c>
      <c r="E10">
        <v>2.1</v>
      </c>
      <c r="F10" s="4">
        <f>($B$2 * C7) / C10</f>
        <v>0</v>
      </c>
    </row>
    <row r="11" spans="1:6">
      <c r="A11" t="s">
        <v>190</v>
      </c>
      <c r="B11">
        <v>215</v>
      </c>
      <c r="C11">
        <v>0</v>
      </c>
      <c r="D11">
        <v>27.3</v>
      </c>
      <c r="E11">
        <v>10</v>
      </c>
      <c r="F11" s="4">
        <f>($B$2 * C7) / C11</f>
        <v>0</v>
      </c>
    </row>
    <row r="12" spans="1:6">
      <c r="A12" t="s">
        <v>191</v>
      </c>
      <c r="B12">
        <v>207</v>
      </c>
      <c r="C12">
        <v>0</v>
      </c>
      <c r="D12">
        <v>22.4</v>
      </c>
      <c r="E12">
        <v>12.1</v>
      </c>
      <c r="F12" s="4">
        <f>($B$2 * C7) / C12</f>
        <v>0</v>
      </c>
    </row>
    <row r="13" spans="1:6">
      <c r="A13" t="s">
        <v>192</v>
      </c>
      <c r="B13">
        <v>175</v>
      </c>
      <c r="C13">
        <v>5.16</v>
      </c>
      <c r="D13">
        <v>26.5</v>
      </c>
      <c r="E13">
        <v>4.68</v>
      </c>
      <c r="F13" s="4">
        <f>($B$2 * C7) / C13</f>
        <v>0</v>
      </c>
    </row>
    <row r="14" spans="1:6">
      <c r="A14" t="s">
        <v>193</v>
      </c>
      <c r="B14">
        <v>106</v>
      </c>
      <c r="C14">
        <v>0</v>
      </c>
      <c r="D14">
        <v>22</v>
      </c>
      <c r="E14">
        <v>2</v>
      </c>
      <c r="F14" s="4">
        <f>($B$2 * C7) / C14</f>
        <v>0</v>
      </c>
    </row>
    <row r="15" spans="1:6">
      <c r="A15" t="s">
        <v>194</v>
      </c>
      <c r="B15">
        <v>176</v>
      </c>
      <c r="C15">
        <v>0</v>
      </c>
      <c r="D15">
        <v>22.6</v>
      </c>
      <c r="E15">
        <v>8.800000000000001</v>
      </c>
      <c r="F15" s="4">
        <f>($B$2 * C7) / C15</f>
        <v>0</v>
      </c>
    </row>
    <row r="16" spans="1:6">
      <c r="A16" t="s">
        <v>195</v>
      </c>
      <c r="B16">
        <v>313</v>
      </c>
      <c r="C16">
        <v>0</v>
      </c>
      <c r="D16">
        <v>26.9</v>
      </c>
      <c r="E16">
        <v>21.9</v>
      </c>
      <c r="F16" s="4">
        <f>($B$2 * C7) / C16</f>
        <v>0</v>
      </c>
    </row>
    <row r="17" spans="1:6">
      <c r="A17" t="s">
        <v>196</v>
      </c>
      <c r="B17">
        <v>170</v>
      </c>
      <c r="C17">
        <v>0</v>
      </c>
      <c r="D17">
        <v>19.3</v>
      </c>
      <c r="E17">
        <v>9.699999999999999</v>
      </c>
      <c r="F17" s="4">
        <f>($B$2 * C7) / C17</f>
        <v>0</v>
      </c>
    </row>
    <row r="18" spans="1:6">
      <c r="A18" t="s">
        <v>197</v>
      </c>
      <c r="B18">
        <v>400</v>
      </c>
      <c r="C18">
        <v>15</v>
      </c>
      <c r="D18">
        <v>75</v>
      </c>
      <c r="E18">
        <v>7.000000000000001</v>
      </c>
      <c r="F18" s="4">
        <f>($B$2 * C7) / C18</f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204</v>
      </c>
    </row>
    <row r="2" spans="1:6">
      <c r="A2" s="1" t="s">
        <v>25</v>
      </c>
      <c r="B2" s="2">
        <v>100</v>
      </c>
    </row>
    <row r="3" spans="1:6">
      <c r="A3" s="1" t="s">
        <v>26</v>
      </c>
    </row>
    <row r="4" spans="1:6">
      <c r="A4" s="3" t="s">
        <v>27</v>
      </c>
      <c r="B4" t="s">
        <v>28</v>
      </c>
    </row>
    <row r="6" spans="1:6">
      <c r="A6" t="s">
        <v>9</v>
      </c>
      <c r="B6" t="s">
        <v>10</v>
      </c>
      <c r="C6" t="s">
        <v>11</v>
      </c>
      <c r="D6" t="s">
        <v>12</v>
      </c>
      <c r="E6" t="s">
        <v>13</v>
      </c>
      <c r="F6" s="1" t="s">
        <v>29</v>
      </c>
    </row>
    <row r="7" spans="1:6">
      <c r="A7" t="s">
        <v>199</v>
      </c>
      <c r="B7">
        <v>17</v>
      </c>
      <c r="C7">
        <v>3.600000000000001</v>
      </c>
      <c r="D7">
        <v>0.23</v>
      </c>
      <c r="E7">
        <v>0.11</v>
      </c>
      <c r="F7" s="4">
        <f>($B$2 * C7) / C7</f>
        <v>0</v>
      </c>
    </row>
    <row r="8" spans="1:6">
      <c r="A8" t="s">
        <v>200</v>
      </c>
      <c r="B8">
        <v>34</v>
      </c>
      <c r="C8">
        <v>7.55</v>
      </c>
      <c r="D8">
        <v>0.74</v>
      </c>
      <c r="E8">
        <v>0.07000000000000001</v>
      </c>
      <c r="F8" s="4">
        <f>($B$2 * C7) / C8</f>
        <v>0</v>
      </c>
    </row>
    <row r="9" spans="1:6">
      <c r="A9" t="s">
        <v>201</v>
      </c>
      <c r="B9">
        <v>47</v>
      </c>
      <c r="C9">
        <v>9.9</v>
      </c>
      <c r="D9">
        <v>0.9399999999999998</v>
      </c>
      <c r="E9">
        <v>0.14</v>
      </c>
      <c r="F9" s="4">
        <f>($B$2 * C7) / C9</f>
        <v>0</v>
      </c>
    </row>
    <row r="10" spans="1:6">
      <c r="A10" t="s">
        <v>202</v>
      </c>
      <c r="B10">
        <v>7.000000000000001</v>
      </c>
      <c r="C10">
        <v>1.05</v>
      </c>
      <c r="D10">
        <v>0.19</v>
      </c>
      <c r="E10">
        <v>0.2</v>
      </c>
      <c r="F10" s="4">
        <f>($B$2 * C7) / C10</f>
        <v>0</v>
      </c>
    </row>
    <row r="11" spans="1:6">
      <c r="A11" t="s">
        <v>203</v>
      </c>
      <c r="B11">
        <v>61</v>
      </c>
      <c r="C11">
        <v>14.6</v>
      </c>
      <c r="D11">
        <v>0.37</v>
      </c>
      <c r="E11">
        <v>0.13</v>
      </c>
      <c r="F11" s="4">
        <f>($B$2 * C7) / C11</f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FormatPr defaultRowHeight="15"/>
  <sheetData>
    <row r="1" spans="1:6">
      <c r="A1" s="1" t="s">
        <v>227</v>
      </c>
    </row>
    <row r="2" spans="1:6">
      <c r="A2" s="1" t="s">
        <v>25</v>
      </c>
      <c r="B2" s="2">
        <v>100</v>
      </c>
    </row>
    <row r="3" spans="1:6">
      <c r="A3" s="1" t="s">
        <v>26</v>
      </c>
    </row>
    <row r="4" spans="1:6">
      <c r="A4" s="3" t="s">
        <v>27</v>
      </c>
      <c r="B4" t="s">
        <v>28</v>
      </c>
    </row>
    <row r="6" spans="1:6">
      <c r="A6" t="s">
        <v>9</v>
      </c>
      <c r="B6" t="s">
        <v>10</v>
      </c>
      <c r="C6" t="s">
        <v>11</v>
      </c>
      <c r="D6" t="s">
        <v>12</v>
      </c>
      <c r="E6" t="s">
        <v>13</v>
      </c>
      <c r="F6" s="1" t="s">
        <v>29</v>
      </c>
    </row>
    <row r="7" spans="1:6">
      <c r="A7" t="s">
        <v>205</v>
      </c>
      <c r="B7">
        <v>0</v>
      </c>
      <c r="C7">
        <v>0</v>
      </c>
      <c r="D7">
        <v>0</v>
      </c>
      <c r="E7">
        <v>0</v>
      </c>
      <c r="F7" s="4">
        <f>($B$2 * C7) / C7</f>
        <v>0</v>
      </c>
    </row>
    <row r="8" spans="1:6">
      <c r="A8" t="s">
        <v>206</v>
      </c>
      <c r="B8">
        <v>0</v>
      </c>
      <c r="C8">
        <v>0</v>
      </c>
      <c r="D8">
        <v>0</v>
      </c>
      <c r="E8">
        <v>0</v>
      </c>
      <c r="F8" s="4">
        <f>($B$2 * C7) / C8</f>
        <v>0</v>
      </c>
    </row>
    <row r="9" spans="1:6">
      <c r="A9" t="s">
        <v>207</v>
      </c>
      <c r="B9">
        <v>0</v>
      </c>
      <c r="C9">
        <v>0</v>
      </c>
      <c r="D9">
        <v>0</v>
      </c>
      <c r="E9">
        <v>0</v>
      </c>
      <c r="F9" s="4">
        <f>($B$2 * C7) / C9</f>
        <v>0</v>
      </c>
    </row>
    <row r="10" spans="1:6">
      <c r="A10" t="s">
        <v>208</v>
      </c>
      <c r="B10">
        <v>0</v>
      </c>
      <c r="C10">
        <v>0</v>
      </c>
      <c r="D10">
        <v>0</v>
      </c>
      <c r="E10">
        <v>0</v>
      </c>
      <c r="F10" s="4">
        <f>($B$2 * C7) / C10</f>
        <v>0</v>
      </c>
    </row>
    <row r="11" spans="1:6">
      <c r="A11" t="s">
        <v>209</v>
      </c>
      <c r="B11">
        <v>0</v>
      </c>
      <c r="C11">
        <v>0</v>
      </c>
      <c r="D11">
        <v>0</v>
      </c>
      <c r="E11">
        <v>0</v>
      </c>
      <c r="F11" s="4">
        <f>($B$2 * C7) / C11</f>
        <v>0</v>
      </c>
    </row>
    <row r="12" spans="1:6">
      <c r="A12" t="s">
        <v>210</v>
      </c>
      <c r="B12">
        <v>0</v>
      </c>
      <c r="C12">
        <v>0</v>
      </c>
      <c r="D12">
        <v>0</v>
      </c>
      <c r="E12">
        <v>0</v>
      </c>
      <c r="F12" s="4">
        <f>($B$2 * C7) / C12</f>
        <v>0</v>
      </c>
    </row>
    <row r="13" spans="1:6">
      <c r="A13" t="s">
        <v>211</v>
      </c>
      <c r="B13">
        <v>0</v>
      </c>
      <c r="C13">
        <v>0</v>
      </c>
      <c r="D13">
        <v>0</v>
      </c>
      <c r="E13">
        <v>0</v>
      </c>
      <c r="F13" s="4">
        <f>($B$2 * C7) / C13</f>
        <v>0</v>
      </c>
    </row>
    <row r="14" spans="1:6">
      <c r="A14" t="s">
        <v>212</v>
      </c>
      <c r="B14">
        <v>0</v>
      </c>
      <c r="C14">
        <v>0</v>
      </c>
      <c r="D14">
        <v>0</v>
      </c>
      <c r="E14">
        <v>0</v>
      </c>
      <c r="F14" s="4">
        <f>($B$2 * C7) / C14</f>
        <v>0</v>
      </c>
    </row>
    <row r="15" spans="1:6">
      <c r="A15" t="s">
        <v>213</v>
      </c>
      <c r="B15">
        <v>0</v>
      </c>
      <c r="C15">
        <v>0</v>
      </c>
      <c r="D15">
        <v>0</v>
      </c>
      <c r="E15">
        <v>0</v>
      </c>
      <c r="F15" s="4">
        <f>($B$2 * C7) / C15</f>
        <v>0</v>
      </c>
    </row>
    <row r="16" spans="1:6">
      <c r="A16" t="s">
        <v>214</v>
      </c>
      <c r="B16">
        <v>0</v>
      </c>
      <c r="C16">
        <v>0</v>
      </c>
      <c r="D16">
        <v>0</v>
      </c>
      <c r="E16">
        <v>0</v>
      </c>
      <c r="F16" s="4">
        <f>($B$2 * C7) / C16</f>
        <v>0</v>
      </c>
    </row>
    <row r="17" spans="1:6">
      <c r="A17" t="s">
        <v>215</v>
      </c>
      <c r="B17">
        <v>0</v>
      </c>
      <c r="C17">
        <v>0</v>
      </c>
      <c r="D17">
        <v>0</v>
      </c>
      <c r="E17">
        <v>0</v>
      </c>
      <c r="F17" s="4">
        <f>($B$2 * C7) / C17</f>
        <v>0</v>
      </c>
    </row>
    <row r="18" spans="1:6">
      <c r="A18" t="s">
        <v>216</v>
      </c>
      <c r="B18">
        <v>0</v>
      </c>
      <c r="C18">
        <v>0</v>
      </c>
      <c r="D18">
        <v>0</v>
      </c>
      <c r="E18">
        <v>0</v>
      </c>
      <c r="F18" s="4">
        <f>($B$2 * C7) / C18</f>
        <v>0</v>
      </c>
    </row>
    <row r="19" spans="1:6">
      <c r="A19" t="s">
        <v>217</v>
      </c>
      <c r="B19">
        <v>0</v>
      </c>
      <c r="C19">
        <v>0</v>
      </c>
      <c r="D19">
        <v>0</v>
      </c>
      <c r="E19">
        <v>0</v>
      </c>
      <c r="F19" s="4">
        <f>($B$2 * C7) / C19</f>
        <v>0</v>
      </c>
    </row>
    <row r="20" spans="1:6">
      <c r="A20" t="s">
        <v>218</v>
      </c>
      <c r="B20">
        <v>0</v>
      </c>
      <c r="C20">
        <v>0</v>
      </c>
      <c r="D20">
        <v>0</v>
      </c>
      <c r="E20">
        <v>0</v>
      </c>
      <c r="F20" s="4">
        <f>($B$2 * C7) / C20</f>
        <v>0</v>
      </c>
    </row>
    <row r="21" spans="1:6">
      <c r="A21" t="s">
        <v>219</v>
      </c>
      <c r="B21">
        <v>0</v>
      </c>
      <c r="C21">
        <v>0</v>
      </c>
      <c r="D21">
        <v>0</v>
      </c>
      <c r="E21">
        <v>0</v>
      </c>
      <c r="F21" s="4">
        <f>($B$2 * C7) / C21</f>
        <v>0</v>
      </c>
    </row>
    <row r="22" spans="1:6">
      <c r="A22" t="s">
        <v>220</v>
      </c>
      <c r="B22">
        <v>0</v>
      </c>
      <c r="C22">
        <v>0</v>
      </c>
      <c r="D22">
        <v>0</v>
      </c>
      <c r="E22">
        <v>0</v>
      </c>
      <c r="F22" s="4">
        <f>($B$2 * C7) / C22</f>
        <v>0</v>
      </c>
    </row>
    <row r="23" spans="1:6">
      <c r="A23" t="s">
        <v>221</v>
      </c>
      <c r="B23">
        <v>0</v>
      </c>
      <c r="C23">
        <v>0</v>
      </c>
      <c r="D23">
        <v>0</v>
      </c>
      <c r="E23">
        <v>0</v>
      </c>
      <c r="F23" s="4">
        <f>($B$2 * C7) / C23</f>
        <v>0</v>
      </c>
    </row>
    <row r="24" spans="1:6">
      <c r="A24" t="s">
        <v>222</v>
      </c>
      <c r="B24">
        <v>0</v>
      </c>
      <c r="C24">
        <v>0</v>
      </c>
      <c r="D24">
        <v>0</v>
      </c>
      <c r="E24">
        <v>0</v>
      </c>
      <c r="F24" s="4">
        <f>($B$2 * C7) / C24</f>
        <v>0</v>
      </c>
    </row>
    <row r="25" spans="1:6">
      <c r="A25" t="s">
        <v>223</v>
      </c>
      <c r="B25">
        <v>0</v>
      </c>
      <c r="C25">
        <v>0</v>
      </c>
      <c r="D25">
        <v>0</v>
      </c>
      <c r="E25">
        <v>0</v>
      </c>
      <c r="F25" s="4">
        <f>($B$2 * C7) / C25</f>
        <v>0</v>
      </c>
    </row>
    <row r="26" spans="1:6">
      <c r="A26" t="s">
        <v>224</v>
      </c>
      <c r="B26">
        <v>0</v>
      </c>
      <c r="C26">
        <v>0</v>
      </c>
      <c r="D26">
        <v>0</v>
      </c>
      <c r="E26">
        <v>0</v>
      </c>
      <c r="F26" s="4">
        <f>($B$2 * C7) / C26</f>
        <v>0</v>
      </c>
    </row>
    <row r="27" spans="1:6">
      <c r="A27" t="s">
        <v>225</v>
      </c>
      <c r="B27">
        <v>0</v>
      </c>
      <c r="C27">
        <v>0</v>
      </c>
      <c r="D27">
        <v>0</v>
      </c>
      <c r="E27">
        <v>0</v>
      </c>
      <c r="F27" s="4">
        <f>($B$2 * C7) / C27</f>
        <v>0</v>
      </c>
    </row>
    <row r="28" spans="1:6">
      <c r="A28" t="s">
        <v>226</v>
      </c>
      <c r="B28">
        <v>0</v>
      </c>
      <c r="C28">
        <v>0</v>
      </c>
      <c r="D28">
        <v>0</v>
      </c>
      <c r="E28">
        <v>0</v>
      </c>
      <c r="F28" s="4">
        <f>($B$2 * C7) / C28</f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pans="1:6">
      <c r="A1" s="1" t="s">
        <v>239</v>
      </c>
    </row>
    <row r="2" spans="1:6">
      <c r="A2" s="1" t="s">
        <v>25</v>
      </c>
      <c r="B2" s="2">
        <v>100</v>
      </c>
    </row>
    <row r="3" spans="1:6">
      <c r="A3" s="1" t="s">
        <v>26</v>
      </c>
    </row>
    <row r="4" spans="1:6">
      <c r="A4" s="3" t="s">
        <v>27</v>
      </c>
      <c r="B4" t="s">
        <v>28</v>
      </c>
    </row>
    <row r="6" spans="1:6">
      <c r="A6" t="s">
        <v>9</v>
      </c>
      <c r="B6" t="s">
        <v>10</v>
      </c>
      <c r="C6" t="s">
        <v>11</v>
      </c>
      <c r="D6" t="s">
        <v>12</v>
      </c>
      <c r="E6" t="s">
        <v>13</v>
      </c>
      <c r="F6" s="1" t="s">
        <v>29</v>
      </c>
    </row>
    <row r="7" spans="1:6">
      <c r="A7" t="s">
        <v>228</v>
      </c>
      <c r="B7">
        <v>50</v>
      </c>
      <c r="C7">
        <v>8.300000000000001</v>
      </c>
      <c r="D7">
        <v>1.44</v>
      </c>
      <c r="E7">
        <v>0.73</v>
      </c>
      <c r="F7" s="4">
        <f>($B$2 * C7) / C7</f>
        <v>0</v>
      </c>
    </row>
    <row r="8" spans="1:6">
      <c r="A8" t="s">
        <v>229</v>
      </c>
      <c r="B8">
        <v>29.00382203175622</v>
      </c>
      <c r="C8">
        <v>5.981916666666661</v>
      </c>
      <c r="D8">
        <v>0.39375</v>
      </c>
      <c r="E8">
        <v>0.799</v>
      </c>
      <c r="F8" s="4">
        <f>($B$2 * C7) / C8</f>
        <v>0</v>
      </c>
    </row>
    <row r="9" spans="1:6">
      <c r="A9" t="s">
        <v>230</v>
      </c>
      <c r="B9">
        <v>32.15432433140276</v>
      </c>
      <c r="C9">
        <v>7.234916666666663</v>
      </c>
      <c r="D9">
        <v>1.29375</v>
      </c>
      <c r="E9">
        <v>0.09266666666666667</v>
      </c>
      <c r="F9" s="4">
        <f>($B$2 * C7) / C9</f>
        <v>0</v>
      </c>
    </row>
    <row r="10" spans="1:6">
      <c r="A10" t="s">
        <v>231</v>
      </c>
      <c r="B10">
        <v>29.86177771015958</v>
      </c>
      <c r="C10">
        <v>6.686749999999989</v>
      </c>
      <c r="D10">
        <v>0.8479166666666668</v>
      </c>
      <c r="E10">
        <v>0.2183333333333334</v>
      </c>
      <c r="F10" s="4">
        <f>($B$2 * C7) / C10</f>
        <v>0</v>
      </c>
    </row>
    <row r="11" spans="1:6">
      <c r="A11" t="s">
        <v>232</v>
      </c>
      <c r="B11">
        <v>18.53979053137702</v>
      </c>
      <c r="C11">
        <v>4.793416666666666</v>
      </c>
      <c r="D11">
        <v>0.4145833333333334</v>
      </c>
      <c r="F11" s="4">
        <f>($B$2 * C7) / C11</f>
        <v>0</v>
      </c>
    </row>
    <row r="12" spans="1:6">
      <c r="A12" t="s">
        <v>233</v>
      </c>
      <c r="B12">
        <v>73.8447043478261</v>
      </c>
      <c r="C12">
        <v>13.44217391304348</v>
      </c>
      <c r="D12">
        <v>4.597826086956522</v>
      </c>
      <c r="E12">
        <v>0.38</v>
      </c>
      <c r="F12" s="4">
        <f>($B$2 * C7) / C12</f>
        <v>0</v>
      </c>
    </row>
    <row r="13" spans="1:6">
      <c r="A13" t="s">
        <v>234</v>
      </c>
      <c r="B13">
        <v>18.18662463768122</v>
      </c>
      <c r="C13">
        <v>4.147101449275376</v>
      </c>
      <c r="D13">
        <v>1.202898550724638</v>
      </c>
      <c r="E13">
        <v>0.05333333333333334</v>
      </c>
      <c r="F13" s="4">
        <f>($B$2 * C7) / C13</f>
        <v>0</v>
      </c>
    </row>
    <row r="14" spans="1:6">
      <c r="A14" t="s">
        <v>235</v>
      </c>
      <c r="B14">
        <v>20</v>
      </c>
      <c r="C14">
        <v>1.94</v>
      </c>
      <c r="D14">
        <v>1.32</v>
      </c>
      <c r="E14">
        <v>0.12</v>
      </c>
      <c r="F14" s="4">
        <f>($B$2 * C7) / C14</f>
        <v>0</v>
      </c>
    </row>
    <row r="15" spans="1:6">
      <c r="A15" t="s">
        <v>236</v>
      </c>
      <c r="B15">
        <v>16.8</v>
      </c>
      <c r="C15">
        <v>1.7</v>
      </c>
      <c r="D15">
        <v>2.5</v>
      </c>
      <c r="E15">
        <v>0</v>
      </c>
      <c r="F15" s="4">
        <f>($B$2 * C7) / C15</f>
        <v>0</v>
      </c>
    </row>
    <row r="16" spans="1:6">
      <c r="A16" t="s">
        <v>237</v>
      </c>
      <c r="B16">
        <v>61</v>
      </c>
      <c r="C16">
        <v>12.3</v>
      </c>
      <c r="D16">
        <v>1.56</v>
      </c>
      <c r="E16">
        <v>0.22</v>
      </c>
      <c r="F16" s="4">
        <f>($B$2 * C7) / C16</f>
        <v>0</v>
      </c>
    </row>
    <row r="17" spans="1:6">
      <c r="A17" t="s">
        <v>238</v>
      </c>
      <c r="B17">
        <v>23</v>
      </c>
      <c r="C17">
        <v>2.7</v>
      </c>
      <c r="D17">
        <v>1.6</v>
      </c>
      <c r="E17">
        <v>0.15</v>
      </c>
      <c r="F17" s="4">
        <f>($B$2 * C7) / C17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Logica_App</vt:lpstr>
      <vt:lpstr>Carnes e Proteínas</vt:lpstr>
      <vt:lpstr>Cereais, Raízes, Tubérculos e F</vt:lpstr>
      <vt:lpstr>Feijão e Leguminosas</vt:lpstr>
      <vt:lpstr>Fibras A</vt:lpstr>
      <vt:lpstr>Fibras B</vt:lpstr>
      <vt:lpstr>Frutas </vt:lpstr>
      <vt:lpstr>Frutas Oleosas</vt:lpstr>
      <vt:lpstr>Leite e Derivados</vt:lpstr>
      <vt:lpstr>Livre</vt:lpstr>
      <vt:lpstr>Oleaginosas e Sementes</vt:lpstr>
      <vt:lpstr>Óleos e Gorduras </vt:lpstr>
      <vt:lpstr>Pães e Variedades</vt:lpstr>
      <vt:lpstr>Personalizado - CARB</vt:lpstr>
      <vt:lpstr>Personalizado - LIP</vt:lpstr>
      <vt:lpstr>Personalizado - PROT</vt:lpstr>
      <vt:lpstr>Sucos Naturais e Integrais</vt:lpstr>
      <vt:lpstr>Vegetais A (livres para o consu</vt:lpstr>
      <vt:lpstr>Vegetais 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2026-05-19T00:52:35Z</dcterms:created>
  <dcterms:modified xsi:type="dcterms:W3CDTF">2026-05-19T00:52:35Z</dcterms:modified>
</cp:coreProperties>
</file>